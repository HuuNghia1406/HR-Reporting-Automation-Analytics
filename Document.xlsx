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tigroup-my.sharepoint.com/personal/huunghia_vo_ttigroup_com_vn/Documents/Documents/POWER-BI/HR Report/Document/"/>
    </mc:Choice>
  </mc:AlternateContent>
  <xr:revisionPtr revIDLastSave="188" documentId="13_ncr:1_{EB405D6F-5C2E-4AE3-A855-B33F4B723051}" xr6:coauthVersionLast="47" xr6:coauthVersionMax="47" xr10:uidLastSave="{1036810C-338C-4838-A575-83BB7D5FB089}"/>
  <bookViews>
    <workbookView xWindow="-120" yWindow="-16320" windowWidth="29040" windowHeight="15720" activeTab="4" xr2:uid="{1135E034-61BB-4060-85EA-08CC769D7B5B}"/>
  </bookViews>
  <sheets>
    <sheet name="Sheet1" sheetId="1" r:id="rId1"/>
    <sheet name="Leave Type" sheetId="3" r:id="rId2"/>
    <sheet name="Data Source" sheetId="2" r:id="rId3"/>
    <sheet name="28.10" sheetId="4" r:id="rId4"/>
    <sheet name="Requirement _2&amp;3_20251112" sheetId="6" r:id="rId5"/>
    <sheet name="Feedback by HR team 3.11" sheetId="5" r:id="rId6"/>
    <sheet name="Dec-2025" sheetId="7" r:id="rId7"/>
  </sheets>
  <definedNames>
    <definedName name="_xlnm._FilterDatabase" localSheetId="3" hidden="1">'28.10'!$A$1:$D$6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6" l="1" a="1"/>
  <c r="A2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<sst xmlns="http://schemas.openxmlformats.org/spreadsheetml/2006/main" count="245" uniqueCount="212">
  <si>
    <t>Entity</t>
  </si>
  <si>
    <t>Columns</t>
  </si>
  <si>
    <t>Mean</t>
  </si>
  <si>
    <t>đơn vị hạch toán</t>
  </si>
  <si>
    <t>BU</t>
  </si>
  <si>
    <t>đơn vị/nhánh kinh doanh</t>
  </si>
  <si>
    <t>IO</t>
  </si>
  <si>
    <t>Employee_ID</t>
  </si>
  <si>
    <t>Mã nhân viên</t>
  </si>
  <si>
    <t>Employee_Code</t>
  </si>
  <si>
    <t>Employee_Group</t>
  </si>
  <si>
    <t>Nhóm nhân viên</t>
  </si>
  <si>
    <t>Full_Name</t>
  </si>
  <si>
    <t>Họ tên nhân viên</t>
  </si>
  <si>
    <t>Cost_Center_Code</t>
  </si>
  <si>
    <t>Mã trung tâm chi phí (nơi phát sinh/nhận chi phí)</t>
  </si>
  <si>
    <t>Cost_Center_Name</t>
  </si>
  <si>
    <t>Tên trung tâm chi phí.</t>
  </si>
  <si>
    <t>Dept</t>
  </si>
  <si>
    <t>Phòng ban</t>
  </si>
  <si>
    <t>Title</t>
  </si>
  <si>
    <t>Chức danh công việc</t>
  </si>
  <si>
    <t>Joining_Date</t>
  </si>
  <si>
    <t>From_Date</t>
  </si>
  <si>
    <t>Ngày đầu tháng</t>
  </si>
  <si>
    <t>Ngày vào làm(Ngày đầu tiên chấm công)</t>
  </si>
  <si>
    <t>End_Date</t>
  </si>
  <si>
    <t>- Mặc định: Ngày cuối tháng
- Nếu nghĩ trong tháng: End_Date = Last_Working_Date</t>
  </si>
  <si>
    <t>Last_Working_Date</t>
  </si>
  <si>
    <t>- Chưa nghĩ: null
- Đã nghĩ = Ngày nghĩ thực tế = End_Date</t>
  </si>
  <si>
    <t>Standard_Working_Day</t>
  </si>
  <si>
    <t>Số ngày làm việc theo lịch chuẩn</t>
  </si>
  <si>
    <t>Total_Working_Day</t>
  </si>
  <si>
    <t>Tổng ngày làm việc thực tế</t>
  </si>
  <si>
    <t>Total_Paid_Day</t>
  </si>
  <si>
    <r>
      <t xml:space="preserve">Tổng </t>
    </r>
    <r>
      <rPr>
        <b/>
        <sz val="11"/>
        <color theme="1"/>
        <rFont val="Aptos Narrow"/>
        <family val="2"/>
        <scheme val="minor"/>
      </rPr>
      <t>ngày được tính lương( làm việc bình thường + nghĩ có lương)</t>
    </r>
  </si>
  <si>
    <t>AL_Annual_Leave</t>
  </si>
  <si>
    <t>Số ngày nghỉ phép năm</t>
  </si>
  <si>
    <t>PHL_Public_Holiday_Leave</t>
  </si>
  <si>
    <t>Nghỉ lễ, Tết</t>
  </si>
  <si>
    <t>C_Compensation_Leave</t>
  </si>
  <si>
    <t>Nghỉ bù</t>
  </si>
  <si>
    <t>SCL_Shift_Changed_Leave</t>
  </si>
  <si>
    <t>Nghỉ do điều chỉnh/đổi ca</t>
  </si>
  <si>
    <t>B_Business_Trip</t>
  </si>
  <si>
    <t>Công tác</t>
  </si>
  <si>
    <t>MP_Marriage_Leave</t>
  </si>
  <si>
    <t>Nghỉ kết hôn</t>
  </si>
  <si>
    <t>FP_Bereavement_Leave</t>
  </si>
  <si>
    <t>Nghỉ tang</t>
  </si>
  <si>
    <t>WFH_Work_From_Home</t>
  </si>
  <si>
    <t>Làm việc từ xa (ở nhà)</t>
  </si>
  <si>
    <t>NW_No_Working</t>
  </si>
  <si>
    <t>Không làm việc</t>
  </si>
  <si>
    <t>Total_Paid_Leave</t>
  </si>
  <si>
    <r>
      <t xml:space="preserve">Tổng </t>
    </r>
    <r>
      <rPr>
        <b/>
        <sz val="11"/>
        <color theme="1"/>
        <rFont val="Aptos Narrow"/>
        <family val="2"/>
        <scheme val="minor"/>
      </rPr>
      <t>ngày nghỉ có lương</t>
    </r>
  </si>
  <si>
    <t>UP_Unpaid_Leave</t>
  </si>
  <si>
    <r>
      <t>Nghỉ không lương</t>
    </r>
    <r>
      <rPr>
        <sz val="11"/>
        <color theme="1"/>
        <rFont val="Aptos Narrow"/>
        <family val="2"/>
        <scheme val="minor"/>
      </rPr>
      <t xml:space="preserve"> đã được phê duyệt.</t>
    </r>
  </si>
  <si>
    <t>UEP_Unpaid_Leave_No_Submit</t>
  </si>
  <si>
    <t>Nghỉ không lương (không nộp/không duyệt)</t>
  </si>
  <si>
    <t>UPA_Arranged_Unpaid_Leave</t>
  </si>
  <si>
    <t>Nghỉ không lương có sắp xếp</t>
  </si>
  <si>
    <t>SL_Sick_Leave</t>
  </si>
  <si>
    <t>Nghỉ ốm đau</t>
  </si>
  <si>
    <t>CS_Child_Sick</t>
  </si>
  <si>
    <t>Nghỉ chăm con ốm</t>
  </si>
  <si>
    <t>PregC_Pregnancy_Check</t>
  </si>
  <si>
    <t>Nghỉ đi khám thai</t>
  </si>
  <si>
    <t>ConvL_Convalescence</t>
  </si>
  <si>
    <t>Nghỉ dưỡng sức phục hồi sức khỏe</t>
  </si>
  <si>
    <t>Không lương</t>
  </si>
  <si>
    <t>hknbieedb01.hk.globaltti.net</t>
  </si>
  <si>
    <t>BIHKPROD</t>
  </si>
  <si>
    <t>TTIBIDNET1</t>
  </si>
  <si>
    <t>MIS_VN_HR_ATTENDANCE_SUMMARY_V2PBI</t>
  </si>
  <si>
    <t>MIS_VN_HR_OVERTIMESUMMARY_V2PBI</t>
  </si>
  <si>
    <t>AL</t>
  </si>
  <si>
    <t>Annual Leave</t>
  </si>
  <si>
    <t>Nghỉ phép năm</t>
  </si>
  <si>
    <t>PH</t>
  </si>
  <si>
    <t>Public Holiday</t>
  </si>
  <si>
    <t>Nghỉ lễ, tết</t>
  </si>
  <si>
    <t>SCL</t>
  </si>
  <si>
    <t>Sick Leave (SI Covered)</t>
  </si>
  <si>
    <t>Nghỉ ốm</t>
  </si>
  <si>
    <t>B</t>
  </si>
  <si>
    <t>Business Trip</t>
  </si>
  <si>
    <t>Đi công tác</t>
  </si>
  <si>
    <t>MP</t>
  </si>
  <si>
    <t>Marriage Leave</t>
  </si>
  <si>
    <t>FP</t>
  </si>
  <si>
    <t>Funeral Paid Leave</t>
  </si>
  <si>
    <t>WFH</t>
  </si>
  <si>
    <t>Work From Home</t>
  </si>
  <si>
    <t>Làm việc tại nhà</t>
  </si>
  <si>
    <t>Paid Leave</t>
  </si>
  <si>
    <t>UP</t>
  </si>
  <si>
    <t>Unpaid Leave</t>
  </si>
  <si>
    <t>Nghỉ không hưởng lương(được duyệt)</t>
  </si>
  <si>
    <t>UPP</t>
  </si>
  <si>
    <t>Unpaid Leave (Personal Purpose)</t>
  </si>
  <si>
    <t>Nghỉ không hưởng lương(tự ý nghĩ)</t>
  </si>
  <si>
    <t>UPA</t>
  </si>
  <si>
    <t>Unpaid Leave (Approval)</t>
  </si>
  <si>
    <t>Nghĩ không hưởng lương ( thoả thuận_phúc lợi còn nguyên)</t>
  </si>
  <si>
    <t>SL</t>
  </si>
  <si>
    <t>CS</t>
  </si>
  <si>
    <t>Child Sick Leave (SI Covered)</t>
  </si>
  <si>
    <t>Nghỉ để chăm con ốm</t>
  </si>
  <si>
    <t>Preg.C</t>
  </si>
  <si>
    <t>Pregnancy Check-up Leave</t>
  </si>
  <si>
    <t>Nghỉ khám thai</t>
  </si>
  <si>
    <t>Conv.L</t>
  </si>
  <si>
    <t>Convalescence (SI Covered)</t>
  </si>
  <si>
    <t>Nghỉ dưỡng sức phục hồi sau ốm đau, sinh con</t>
  </si>
  <si>
    <t>Funeral Unpaid Leave</t>
  </si>
  <si>
    <t>FUL</t>
  </si>
  <si>
    <t>Nghỉ tang nhưng không hưởng lương</t>
  </si>
  <si>
    <t>Par.L</t>
  </si>
  <si>
    <t>Paternity Leave (SI Covered)</t>
  </si>
  <si>
    <t>Nghỉ khi vợ sinh con</t>
  </si>
  <si>
    <t>UnPaid Leave</t>
  </si>
  <si>
    <t>ML</t>
  </si>
  <si>
    <t>Maternity Leave</t>
  </si>
  <si>
    <t>Nghỉ sinh con</t>
  </si>
  <si>
    <t>Server_Name</t>
  </si>
  <si>
    <t>Database_Name</t>
  </si>
  <si>
    <t>Schema_Name</t>
  </si>
  <si>
    <t>View_Name</t>
  </si>
  <si>
    <t>TTI_WORKHOURS_PBI</t>
  </si>
  <si>
    <t>MIS_VN_HR_ATTENDANCE_PAYROLL_SUMMARY_V2PBI</t>
  </si>
  <si>
    <t xml:space="preserve">MIS_VN_HR_WORKING_SHIFT_V2PBI
</t>
  </si>
  <si>
    <t>include view: MIS_VN_HR_OVERTIME_DETAIL_V2PBI</t>
  </si>
  <si>
    <t>Note1</t>
  </si>
  <si>
    <t>Calendar month</t>
  </si>
  <si>
    <t>payroll</t>
  </si>
  <si>
    <t>Schedule update</t>
  </si>
  <si>
    <t>3st day next month</t>
  </si>
  <si>
    <t>Source_System</t>
  </si>
  <si>
    <t>Data_Period</t>
  </si>
  <si>
    <t>One record per employee per day</t>
  </si>
  <si>
    <t>Required_Columns</t>
  </si>
  <si>
    <t>One record per employee per calendar month: 1-Aug  to 31-Aug</t>
  </si>
  <si>
    <t>One record per employee per payroll: 21-Jul  to 20-Aug</t>
  </si>
  <si>
    <r>
      <t>BU,ENTITY,BU_ORG_3,LOCATION,EMPLOYEE_ID,EMPLOYEE_GROUP,EMPLOYEE_NAME,DEPT,JOB_TITLE,CODE_CENTER,TYPE,EMPLOYEE_TYPE,JOINING_DATE,LAST_WORKING_DATE,</t>
    </r>
    <r>
      <rPr>
        <sz val="11"/>
        <color rgb="FFFF0000"/>
        <rFont val="Aptos Narrow"/>
        <family val="2"/>
        <scheme val="minor"/>
      </rPr>
      <t xml:space="preserve">FROM_DATE, END_DATE, </t>
    </r>
    <r>
      <rPr>
        <sz val="11"/>
        <color theme="1"/>
        <rFont val="Aptos Narrow"/>
        <family val="2"/>
        <scheme val="minor"/>
      </rPr>
      <t>STANDARD_WD,TOTAL_WD,PAID_DAY,NW,AL,PH,SCL,B,MP,C,FP,WFH,TPL,UP,UPP,UPA,SL,CS,Preg.C,Conv.L,FUL,Par.L,ML,TUP</t>
    </r>
  </si>
  <si>
    <r>
      <t>BU,ENTITY,BU_ORG_3,LOCATION,EMPLOYEE_ID,EMPLOYEE_GROUP,EMPLOYEE_NAME,DEPT,JOB_TITLE,CODE_CENTER,TYPE,EMPLOYEE_TYPE,JOINING_DATE,LAST_WORKING_DATE,</t>
    </r>
    <r>
      <rPr>
        <sz val="11"/>
        <color rgb="FFFF0000"/>
        <rFont val="Aptos Narrow"/>
        <family val="2"/>
        <scheme val="minor"/>
      </rPr>
      <t>FROM_DATE, END_DATE, TOTAL_150%, TOTAL_200%, TOTAL_300%, TOTAL_210%, TOTAL_270%, TOTAL_390%</t>
    </r>
  </si>
  <si>
    <r>
      <t>all column from TTI_WORKHOURS_PBI view:
 BU,ENTITY,BU_ORG_3,LOCATION,EMPLOYEE_ID,EMPLOYEE_GROUP,EMPLOYEE_NAME,DEPT,JOB_TITLE,CODE_CENTER,TYPE,EMPLOYEE_TYPE,JOINING_DATE,LAST_WORKING_DATE,</t>
    </r>
    <r>
      <rPr>
        <sz val="11"/>
        <color rgb="FFFF0000"/>
        <rFont val="Aptos Narrow"/>
        <family val="2"/>
        <scheme val="minor"/>
      </rPr>
      <t>FROM_DATE, END_DATE,</t>
    </r>
    <r>
      <rPr>
        <sz val="11"/>
        <color theme="1"/>
        <rFont val="Aptos Narrow"/>
        <family val="2"/>
        <scheme val="minor"/>
      </rPr>
      <t xml:space="preserve"> STANDARD_WD,TOTAL_WD,PAID_DAY,NW,AL,PH,SCL,B,MP,C,FP,WFH,TPL,UP,UPP,UPA,SL,CS,Preg.C,Conv.L,FUL,Par.L,ML,TUP,150%,200%,300%,210%,270%,390%,SHIFT_TYPE,DATE</t>
    </r>
  </si>
  <si>
    <t>Note</t>
  </si>
  <si>
    <t>No</t>
  </si>
  <si>
    <t>Cadena</t>
  </si>
  <si>
    <t xml:space="preserve">Warehouse </t>
  </si>
  <si>
    <t>Value mismatch</t>
  </si>
  <si>
    <t>Examle</t>
  </si>
  <si>
    <t>float</t>
  </si>
  <si>
    <t>integer</t>
  </si>
  <si>
    <t>Data type "PH" column</t>
  </si>
  <si>
    <t>Change PH column data type from integer to float</t>
  </si>
  <si>
    <t>Shift-type</t>
  </si>
  <si>
    <t>Other shift types were not mapped correctly during data processing.</t>
  </si>
  <si>
    <t>adena contains multiple shift types (e.g., O, OS, X/O, Preg.C, S5B, ...).</t>
  </si>
  <si>
    <t>Example: Cadena = “S5B” → Warehouse = “O”</t>
  </si>
  <si>
    <t>Issue</t>
  </si>
  <si>
    <t>Only “O” and “OS” — all other shift types are converted to “O”.</t>
  </si>
  <si>
    <t>The data is  0(zero)</t>
  </si>
  <si>
    <r>
      <t>The working-hour,leave, OT columns(</t>
    </r>
    <r>
      <rPr>
        <sz val="12"/>
        <color rgb="FFFF0000"/>
        <rFont val="Aptos Narrow"/>
        <family val="2"/>
        <scheme val="minor"/>
      </rPr>
      <t>STANDARD_WD to 390%</t>
    </r>
    <r>
      <rPr>
        <sz val="12"/>
        <color theme="1"/>
        <rFont val="Aptos Narrow"/>
        <family val="2"/>
        <scheme val="minor"/>
      </rPr>
      <t>) keep the original decimal values (e.g., 0.5, 0.75).</t>
    </r>
  </si>
  <si>
    <t>Example: Cadena = 0.75 → Warehouse = 0</t>
  </si>
  <si>
    <t>data in the warehouse was rounded during processing</t>
  </si>
  <si>
    <t>Example: Cadena = 0.25 → Warehouse = 0</t>
  </si>
  <si>
    <t>Standard_WD column</t>
  </si>
  <si>
    <t>TOTAL_WD column</t>
  </si>
  <si>
    <t>Showing “0.00”</t>
  </si>
  <si>
    <t>Should display as blank instead of “0.00”</t>
  </si>
  <si>
    <t>Visual number</t>
  </si>
  <si>
    <t>Add a new column: Cost_Center</t>
  </si>
  <si>
    <t>Showing actual value</t>
  </si>
  <si>
    <t>Using real-time data</t>
  </si>
  <si>
    <t>Current</t>
  </si>
  <si>
    <t>Requested change</t>
  </si>
  <si>
    <t>-</t>
  </si>
  <si>
    <t>Add column</t>
  </si>
  <si>
    <t>Calculated based on Employee_Group</t>
  </si>
  <si>
    <t>Calculate</t>
  </si>
  <si>
    <t>OF -&gt; off on Saturday and Sunday
OP -&gt; off on Sunday</t>
  </si>
  <si>
    <t>Paid_Days column</t>
  </si>
  <si>
    <t>Paid_Days = Actual working days + Paid leave days(AL,H + PH,SCL,B,MP,FP,WFH)</t>
  </si>
  <si>
    <t>Total Working Day = Paid_Days – Total PL + B(Business trip)</t>
  </si>
  <si>
    <t>(Employee has complete time in/out records  or has submitted and approved Missing In/Out requests) and Paid leave days</t>
  </si>
  <si>
    <t>shift-type</t>
  </si>
  <si>
    <t>ML/PH</t>
  </si>
  <si>
    <t>Fiona confirm ok</t>
  </si>
  <si>
    <t>Working Hours Report from 21-20</t>
  </si>
  <si>
    <t>21/8</t>
  </si>
  <si>
    <t>Table View</t>
  </si>
  <si>
    <t>Update Schedule</t>
  </si>
  <si>
    <t>Purpose</t>
  </si>
  <si>
    <t>Regular monthly summary reports</t>
  </si>
  <si>
    <t>Keep old data unchanged (no overwrite)</t>
  </si>
  <si>
    <t xml:space="preserve">- OT lấy theo cadena( ví dụ ghi nhận thực tế 16,5 tiếng OT 200%, nhưng trên cadena sẽ là 14 tiếng OT 200%  + 2.5 tiếng nghĩ bù)
 -  </t>
  </si>
  <si>
    <t>- Có đi làm( có in/out) nhưng không có ca làm việc? Vậy tính giờ làm việc bình thường và giờ OT như nào?</t>
  </si>
  <si>
    <t>No Update</t>
  </si>
  <si>
    <t>Update Data Range</t>
  </si>
  <si>
    <t>End of Month</t>
  </si>
  <si>
    <t>Update Only Dec(1-31) Data</t>
  </si>
  <si>
    <t>Dec Data Update Range</t>
  </si>
  <si>
    <t>01-Nov-25</t>
  </si>
  <si>
    <t>Jan Payroll Update Range</t>
  </si>
  <si>
    <t>UPDATE ONLY JAN PAYROLL (21_DEC - 20_JAN) DATA</t>
  </si>
  <si>
    <t>Last day of every month at 18:00</t>
  </si>
  <si>
    <t xml:space="preserve">	
Last day of every month at 18:00</t>
  </si>
  <si>
    <t>TTIBIDNET1.MIS_VN_TIMESHEET_DTL_2_V2PBI</t>
  </si>
  <si>
    <t>TTIBIDNET1.MIS_VN_OVERTIME_DTL_2_V2PBI</t>
  </si>
  <si>
    <t>21st of the previous month →20th of the current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</si>
</sst>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d\-mmm\-yy;@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3CCEB"/>
        <bgColor indexed="64"/>
      </patternFill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0" fillId="0" borderId="0" xfId="0" quotePrefix="1" applyAlignment="1">
      <alignment wrapText="1"/>
    </xf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wrapText="1"/>
    </xf>
    <xf numFmtId="0" fontId="0" fillId="0" borderId="0" xfId="0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quotePrefix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5" fillId="0" borderId="8" xfId="0" quotePrefix="1" applyFont="1" applyBorder="1" applyAlignment="1">
      <alignment vertical="center" wrapText="1"/>
    </xf>
    <xf numFmtId="0" fontId="0" fillId="0" borderId="0" xfId="0" quotePrefix="1"/>
    <xf numFmtId="0" fontId="0" fillId="11" borderId="0" xfId="0" applyFill="1"/>
    <xf numFmtId="0" fontId="0" fillId="12" borderId="0" xfId="0" applyFill="1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9" fillId="9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wrapText="1"/>
    </xf>
    <xf numFmtId="0" fontId="8" fillId="13" borderId="0" xfId="0" applyFont="1" applyFill="1" applyAlignment="1">
      <alignment wrapText="1"/>
    </xf>
    <xf numFmtId="0" fontId="0" fillId="11" borderId="0" xfId="0" applyFill="1" applyAlignment="1">
      <alignment wrapText="1"/>
    </xf>
    <xf numFmtId="0" fontId="4" fillId="15" borderId="0" xfId="0" applyFont="1" applyFill="1" applyAlignment="1">
      <alignment wrapText="1"/>
    </xf>
    <xf numFmtId="164" fontId="0" fillId="0" borderId="0" xfId="0" applyNumberFormat="1"/>
    <xf numFmtId="164" fontId="8" fillId="8" borderId="0" xfId="0" quotePrefix="1" applyNumberFormat="1" applyFont="1" applyFill="1" applyAlignment="1">
      <alignment wrapText="1"/>
    </xf>
    <xf numFmtId="165" fontId="0" fillId="0" borderId="0" xfId="0" quotePrefix="1" applyNumberFormat="1"/>
    <xf numFmtId="165" fontId="0" fillId="0" borderId="0" xfId="0" applyNumberFormat="1"/>
    <xf numFmtId="164" fontId="8" fillId="0" borderId="0" xfId="0" quotePrefix="1" applyNumberFormat="1" applyFont="1" applyAlignment="1">
      <alignment wrapText="1"/>
    </xf>
    <xf numFmtId="0" fontId="8" fillId="0" borderId="0" xfId="0" applyFont="1"/>
    <xf numFmtId="0" fontId="0" fillId="0" borderId="0" xfId="0" quotePrefix="1" applyAlignment="1">
      <alignment horizontal="center"/>
    </xf>
    <xf numFmtId="165" fontId="0" fillId="14" borderId="0" xfId="0" quotePrefix="1" applyNumberFormat="1" applyFill="1"/>
    <xf numFmtId="164" fontId="0" fillId="14" borderId="0" xfId="0" applyNumberFormat="1" applyFill="1"/>
    <xf numFmtId="164" fontId="0" fillId="8" borderId="0" xfId="0" quotePrefix="1" applyNumberFormat="1" applyFill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8" fillId="0" borderId="0" xfId="0" applyFont="1" applyAlignment="1">
      <alignment horizontal="center"/>
    </xf>
    <xf numFmtId="0" fontId="0" fillId="14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8" fillId="10" borderId="0" xfId="0" applyFont="1" applyFill="1" applyAlignment="1">
      <alignment horizontal="center"/>
    </xf>
    <xf numFmtId="0" fontId="0" fillId="0" borderId="0" xfId="0" quotePrefix="1" applyAlignment="1">
      <alignment horizontal="center" vertical="center" wrapText="1"/>
    </xf>
    <xf numFmtId="0" fontId="10" fillId="0" borderId="1" xfId="0" applyFont="1" applyBorder="1" applyAlignment="1">
      <alignment wrapText="1"/>
    </xf>
  </cellXfs>
  <cellStyles count="1">
    <cellStyle name="Normal" xfId="0" builtinId="0"/>
  </cellStyles>
  <dxfs count="33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9D9D9"/>
      <color rgb="FF83C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6850061</xdr:colOff>
      <xdr:row>0</xdr:row>
      <xdr:rowOff>0</xdr:rowOff>
    </xdr:from>
    <xdr:to>
      <xdr:col>1</xdr:col>
      <xdr:colOff>7277099</xdr:colOff>
      <xdr:row>2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84ABB7-37E2-CBC5-EB10-6514506DF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0061" y="0"/>
          <a:ext cx="7342188" cy="63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76201</xdr:colOff>
      <xdr:row>3</xdr:row>
      <xdr:rowOff>69849</xdr:rowOff>
    </xdr:from>
    <xdr:to>
      <xdr:col>1</xdr:col>
      <xdr:colOff>7372350</xdr:colOff>
      <xdr:row>24</xdr:row>
      <xdr:rowOff>107949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DAAA3A-F91A-0006-1421-6791DD9AD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351" y="803274"/>
          <a:ext cx="7296149" cy="383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378508-150C-48D7-AE5F-F285A0E4F923}" name="Table2" displayName="Table2" ref="A2:B37" totalsRowShown="0">
  <autoFilter ref="A2:B37" xr:uid="{DB378508-150C-48D7-AE5F-F285A0E4F923}"/>
  <tableColumns count="2">
    <tableColumn id="1" xr3:uid="{8BA69529-62C8-4588-9FE0-3B7FB8C50D93}" name="Columns"/>
    <tableColumn id="2" xr3:uid="{F67F2BC9-F418-48CA-A02A-2DF2A99A816E}" name="Mea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9C9753-D1BE-4019-A8B4-5D14427320A7}" name="Table1" displayName="Table1" ref="A1:I5" totalsRowShown="0" headerRowDxfId="32" dataDxfId="30" headerRowBorderDxfId="31" tableBorderDxfId="29" totalsRowBorderDxfId="28">
  <autoFilter ref="A1:I5" xr:uid="{B09C9753-D1BE-4019-A8B4-5D14427320A7}"/>
  <tableColumns count="9">
    <tableColumn id="1" xr3:uid="{F1AF4CD4-5133-47F5-BEF0-9BBA6CF23716}" name="Server_Name" dataDxfId="27"/>
    <tableColumn id="2" xr3:uid="{FC318BE5-ED21-4CA6-8F5C-26E09986B44A}" name="Database_Name" dataDxfId="26"/>
    <tableColumn id="3" xr3:uid="{B7966363-2A01-4B56-A41C-AFC0FFAB00C6}" name="Schema_Name" dataDxfId="25"/>
    <tableColumn id="4" xr3:uid="{563298FE-093E-4115-95E7-883A93642203}" name="View_Name" dataDxfId="24"/>
    <tableColumn id="5" xr3:uid="{DFC91F01-E899-4848-8129-63CD4424A987}" name="Source_System" dataDxfId="23"/>
    <tableColumn id="6" xr3:uid="{94A79809-D061-4B8B-8004-D586A6AC2F0F}" name="Data_Period" dataDxfId="22"/>
    <tableColumn id="9" xr3:uid="{28C1E5CB-211D-41A5-8BDA-ECA50508DF48}" name="Schedule update" dataDxfId="21"/>
    <tableColumn id="7" xr3:uid="{FBA1852B-BAC8-4C2D-8AC9-D0F67B2A3A67}" name="Note1" dataDxfId="20"/>
    <tableColumn id="8" xr3:uid="{256645D4-1266-4F9A-B8CA-044892BF1CCF}" name="Required_Columns" dataDxfId="1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619A86-51AF-4102-8A73-D02EA71E158D}" name="Table3" displayName="Table3" ref="A1:F6" totalsRowShown="0" headerRowDxfId="18" dataDxfId="16" headerRowBorderDxfId="17" tableBorderDxfId="15" totalsRowBorderDxfId="14">
  <autoFilter ref="A1:F6" xr:uid="{47043C0D-6516-428B-8B79-FB94E98AC097}"/>
  <tableColumns count="6">
    <tableColumn id="1" xr3:uid="{DABF24B3-BBA0-488C-BE82-4064947AE40F}" name="No" dataDxfId="13"/>
    <tableColumn id="2" xr3:uid="{3EC9614D-74B4-4DDF-B8EE-04D8DE3B4BE8}" name="Issue" dataDxfId="12"/>
    <tableColumn id="3" xr3:uid="{FDCE6297-07C6-4BCD-B917-26B74BAE6413}" name="Cadena" dataDxfId="11"/>
    <tableColumn id="4" xr3:uid="{393AA7D3-340A-4E0F-986E-C5FF2D9CF127}" name="Warehouse " dataDxfId="10"/>
    <tableColumn id="6" xr3:uid="{487BBFDD-05DD-4A26-AD25-4ED9AB22CD9D}" name="Examle" dataDxfId="9"/>
    <tableColumn id="7" xr3:uid="{9B943CEA-7103-4A61-B4C9-F85667C229D6}" name="Note" dataDxfId="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0B1C68A-34E0-4C60-9DEE-6B5495F5FCB7}" name="Table4" displayName="Table4" ref="A1:D6" totalsRowShown="0" headerRowDxfId="7" headerRowBorderDxfId="6" tableBorderDxfId="5" totalsRowBorderDxfId="4">
  <autoFilter ref="A1:D6" xr:uid="{B0B1C68A-34E0-4C60-9DEE-6B5495F5FCB7}"/>
  <tableColumns count="4">
    <tableColumn id="1" xr3:uid="{B973F3D4-8AAC-4563-9362-27565F83F314}" name="Issue" dataDxfId="3"/>
    <tableColumn id="2" xr3:uid="{9C0F3D99-4C75-44A9-AD8E-5D7565543E58}" name="Current" dataDxfId="2"/>
    <tableColumn id="3" xr3:uid="{71EDE996-829E-4AF4-9CE5-7D9B1954BC12}" name="Requested change" dataDxfId="1"/>
    <tableColumn id="4" xr3:uid="{640C42EC-5E24-4092-B11B-41089DB259E2}" name="Calculat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FE3CF-1154-4275-B9D6-990BD56243B5}">
  <dimension ref="A1:L37"/>
  <sheetViews>
    <sheetView workbookViewId="0">
      <selection activeCell="A36" sqref="A36"/>
    </sheetView>
  </sheetViews>
  <sheetFormatPr defaultRowHeight="14.5" x14ac:dyDescent="0.35"/>
  <cols>
    <col min="1" max="1" width="30.453125" customWidth="1"/>
    <col min="2" max="2" width="68.1796875" customWidth="1"/>
    <col min="3" max="3" width="14.6328125" customWidth="1"/>
  </cols>
  <sheetData>
    <row r="1" spans="1:12" x14ac:dyDescent="0.35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2" x14ac:dyDescent="0.35">
      <c r="A2" t="s">
        <v>1</v>
      </c>
      <c r="B2" t="s">
        <v>2</v>
      </c>
    </row>
    <row r="3" spans="1:12" x14ac:dyDescent="0.35">
      <c r="A3" t="s">
        <v>0</v>
      </c>
      <c r="B3" t="s">
        <v>3</v>
      </c>
    </row>
    <row r="4" spans="1:12" x14ac:dyDescent="0.35">
      <c r="A4" t="s">
        <v>4</v>
      </c>
      <c r="B4" t="s">
        <v>5</v>
      </c>
    </row>
    <row r="5" spans="1:12" x14ac:dyDescent="0.35">
      <c r="A5" t="s">
        <v>6</v>
      </c>
    </row>
    <row r="6" spans="1:12" x14ac:dyDescent="0.35">
      <c r="A6" t="s">
        <v>7</v>
      </c>
      <c r="B6" t="s">
        <v>8</v>
      </c>
    </row>
    <row r="7" spans="1:12" x14ac:dyDescent="0.35">
      <c r="A7" t="s">
        <v>9</v>
      </c>
    </row>
    <row r="8" spans="1:12" x14ac:dyDescent="0.35">
      <c r="A8" t="s">
        <v>10</v>
      </c>
      <c r="B8" t="s">
        <v>11</v>
      </c>
    </row>
    <row r="9" spans="1:12" x14ac:dyDescent="0.35">
      <c r="A9" t="s">
        <v>12</v>
      </c>
      <c r="B9" t="s">
        <v>13</v>
      </c>
    </row>
    <row r="10" spans="1:12" x14ac:dyDescent="0.35">
      <c r="A10" t="s">
        <v>14</v>
      </c>
      <c r="B10" t="s">
        <v>15</v>
      </c>
    </row>
    <row r="11" spans="1:12" x14ac:dyDescent="0.35">
      <c r="A11" t="s">
        <v>16</v>
      </c>
      <c r="B11" t="s">
        <v>17</v>
      </c>
    </row>
    <row r="12" spans="1:12" x14ac:dyDescent="0.35">
      <c r="A12" t="s">
        <v>18</v>
      </c>
      <c r="B12" t="s">
        <v>19</v>
      </c>
    </row>
    <row r="13" spans="1:12" x14ac:dyDescent="0.35">
      <c r="A13" t="s">
        <v>20</v>
      </c>
      <c r="B13" t="s">
        <v>21</v>
      </c>
    </row>
    <row r="14" spans="1:12" x14ac:dyDescent="0.35">
      <c r="A14" s="1" t="s">
        <v>22</v>
      </c>
      <c r="B14" t="s">
        <v>25</v>
      </c>
    </row>
    <row r="15" spans="1:12" x14ac:dyDescent="0.35">
      <c r="A15" t="s">
        <v>23</v>
      </c>
      <c r="B15" t="s">
        <v>24</v>
      </c>
    </row>
    <row r="16" spans="1:12" ht="29" x14ac:dyDescent="0.35">
      <c r="A16" t="s">
        <v>26</v>
      </c>
      <c r="B16" s="2" t="s">
        <v>27</v>
      </c>
    </row>
    <row r="17" spans="1:3" ht="29" x14ac:dyDescent="0.35">
      <c r="A17" t="s">
        <v>28</v>
      </c>
      <c r="B17" s="2" t="s">
        <v>29</v>
      </c>
    </row>
    <row r="18" spans="1:3" x14ac:dyDescent="0.35">
      <c r="A18" t="s">
        <v>30</v>
      </c>
      <c r="B18" t="s">
        <v>31</v>
      </c>
    </row>
    <row r="19" spans="1:3" x14ac:dyDescent="0.35">
      <c r="A19" t="s">
        <v>32</v>
      </c>
      <c r="B19" t="s">
        <v>33</v>
      </c>
    </row>
    <row r="20" spans="1:3" x14ac:dyDescent="0.35">
      <c r="A20" t="s">
        <v>34</v>
      </c>
      <c r="B20" t="s">
        <v>35</v>
      </c>
    </row>
    <row r="21" spans="1:3" x14ac:dyDescent="0.35">
      <c r="A21" t="s">
        <v>36</v>
      </c>
      <c r="B21" t="s">
        <v>37</v>
      </c>
    </row>
    <row r="22" spans="1:3" x14ac:dyDescent="0.35">
      <c r="A22" t="s">
        <v>38</v>
      </c>
      <c r="B22" t="s">
        <v>39</v>
      </c>
    </row>
    <row r="23" spans="1:3" x14ac:dyDescent="0.35">
      <c r="A23" t="s">
        <v>40</v>
      </c>
      <c r="B23" t="s">
        <v>41</v>
      </c>
    </row>
    <row r="24" spans="1:3" x14ac:dyDescent="0.35">
      <c r="A24" t="s">
        <v>42</v>
      </c>
      <c r="B24" t="s">
        <v>43</v>
      </c>
    </row>
    <row r="25" spans="1:3" x14ac:dyDescent="0.35">
      <c r="A25" t="s">
        <v>44</v>
      </c>
      <c r="B25" s="1" t="s">
        <v>45</v>
      </c>
    </row>
    <row r="26" spans="1:3" x14ac:dyDescent="0.35">
      <c r="A26" t="s">
        <v>46</v>
      </c>
      <c r="B26" t="s">
        <v>47</v>
      </c>
    </row>
    <row r="27" spans="1:3" x14ac:dyDescent="0.35">
      <c r="A27" t="s">
        <v>48</v>
      </c>
      <c r="B27" t="s">
        <v>49</v>
      </c>
    </row>
    <row r="28" spans="1:3" x14ac:dyDescent="0.35">
      <c r="A28" t="s">
        <v>50</v>
      </c>
      <c r="B28" t="s">
        <v>51</v>
      </c>
    </row>
    <row r="29" spans="1:3" x14ac:dyDescent="0.35">
      <c r="A29" t="s">
        <v>52</v>
      </c>
      <c r="B29" t="s">
        <v>53</v>
      </c>
    </row>
    <row r="30" spans="1:3" x14ac:dyDescent="0.35">
      <c r="A30" t="s">
        <v>54</v>
      </c>
      <c r="B30" t="s">
        <v>55</v>
      </c>
    </row>
    <row r="31" spans="1:3" x14ac:dyDescent="0.35">
      <c r="A31" t="s">
        <v>56</v>
      </c>
      <c r="B31" s="1" t="s">
        <v>57</v>
      </c>
      <c r="C31" s="75" t="s">
        <v>70</v>
      </c>
    </row>
    <row r="32" spans="1:3" x14ac:dyDescent="0.35">
      <c r="A32" t="s">
        <v>58</v>
      </c>
      <c r="B32" s="1" t="s">
        <v>59</v>
      </c>
      <c r="C32" s="75"/>
    </row>
    <row r="33" spans="1:3" x14ac:dyDescent="0.35">
      <c r="A33" t="s">
        <v>60</v>
      </c>
      <c r="B33" s="1" t="s">
        <v>61</v>
      </c>
      <c r="C33" s="75"/>
    </row>
    <row r="34" spans="1:3" x14ac:dyDescent="0.35">
      <c r="A34" t="s">
        <v>62</v>
      </c>
      <c r="B34" t="s">
        <v>63</v>
      </c>
      <c r="C34" s="75"/>
    </row>
    <row r="35" spans="1:3" x14ac:dyDescent="0.35">
      <c r="A35" t="s">
        <v>64</v>
      </c>
      <c r="B35" s="1" t="s">
        <v>65</v>
      </c>
      <c r="C35" s="75"/>
    </row>
    <row r="36" spans="1:3" x14ac:dyDescent="0.35">
      <c r="A36" t="s">
        <v>66</v>
      </c>
      <c r="B36" t="s">
        <v>67</v>
      </c>
      <c r="C36" s="75"/>
    </row>
    <row r="37" spans="1:3" x14ac:dyDescent="0.35">
      <c r="A37" t="s">
        <v>68</v>
      </c>
      <c r="B37" t="s">
        <v>69</v>
      </c>
      <c r="C37" s="75"/>
    </row>
  </sheetData>
  <mergeCells count="2">
    <mergeCell ref="A1:L1"/>
    <mergeCell ref="C31:C37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07478-0A48-4EAB-BD7E-F53F6B1FEE5B}">
  <dimension ref="A2:D19"/>
  <sheetViews>
    <sheetView workbookViewId="0">
      <selection activeCell="C25" sqref="C25"/>
    </sheetView>
  </sheetViews>
  <sheetFormatPr defaultColWidth="23.6328125" defaultRowHeight="14.5" x14ac:dyDescent="0.35"/>
  <cols>
    <col min="2" max="2" width="29.6328125" customWidth="1"/>
    <col min="3" max="3" width="37.1796875" style="3" customWidth="1"/>
  </cols>
  <sheetData>
    <row r="2" spans="1:4" x14ac:dyDescent="0.35">
      <c r="A2" t="s">
        <v>76</v>
      </c>
      <c r="B2" t="s">
        <v>77</v>
      </c>
      <c r="C2" s="3" t="s">
        <v>78</v>
      </c>
      <c r="D2" s="76" t="s">
        <v>95</v>
      </c>
    </row>
    <row r="3" spans="1:4" x14ac:dyDescent="0.35">
      <c r="A3" t="s">
        <v>79</v>
      </c>
      <c r="B3" t="s">
        <v>80</v>
      </c>
      <c r="C3" s="3" t="s">
        <v>81</v>
      </c>
      <c r="D3" s="76"/>
    </row>
    <row r="4" spans="1:4" x14ac:dyDescent="0.35">
      <c r="A4" s="4" t="s">
        <v>82</v>
      </c>
      <c r="B4" t="s">
        <v>83</v>
      </c>
      <c r="C4" s="3" t="s">
        <v>84</v>
      </c>
      <c r="D4" s="76"/>
    </row>
    <row r="5" spans="1:4" x14ac:dyDescent="0.35">
      <c r="A5" t="s">
        <v>85</v>
      </c>
      <c r="B5" t="s">
        <v>86</v>
      </c>
      <c r="C5" s="3" t="s">
        <v>87</v>
      </c>
      <c r="D5" s="76"/>
    </row>
    <row r="6" spans="1:4" x14ac:dyDescent="0.35">
      <c r="A6" t="s">
        <v>88</v>
      </c>
      <c r="B6" t="s">
        <v>89</v>
      </c>
      <c r="C6" s="3" t="s">
        <v>47</v>
      </c>
      <c r="D6" s="76"/>
    </row>
    <row r="7" spans="1:4" x14ac:dyDescent="0.35">
      <c r="A7" t="s">
        <v>90</v>
      </c>
      <c r="B7" t="s">
        <v>91</v>
      </c>
      <c r="C7" s="3" t="s">
        <v>49</v>
      </c>
      <c r="D7" s="76"/>
    </row>
    <row r="8" spans="1:4" x14ac:dyDescent="0.35">
      <c r="A8" t="s">
        <v>92</v>
      </c>
      <c r="B8" t="s">
        <v>93</v>
      </c>
      <c r="C8" s="3" t="s">
        <v>94</v>
      </c>
      <c r="D8" s="76"/>
    </row>
    <row r="9" spans="1:4" x14ac:dyDescent="0.35">
      <c r="A9" s="5"/>
      <c r="B9" s="5"/>
      <c r="C9" s="6"/>
      <c r="D9" s="5"/>
    </row>
    <row r="10" spans="1:4" x14ac:dyDescent="0.35">
      <c r="A10" t="s">
        <v>96</v>
      </c>
      <c r="B10" t="s">
        <v>97</v>
      </c>
      <c r="C10" s="3" t="s">
        <v>98</v>
      </c>
      <c r="D10" s="76" t="s">
        <v>121</v>
      </c>
    </row>
    <row r="11" spans="1:4" x14ac:dyDescent="0.35">
      <c r="A11" t="s">
        <v>99</v>
      </c>
      <c r="B11" t="s">
        <v>100</v>
      </c>
      <c r="C11" s="3" t="s">
        <v>101</v>
      </c>
      <c r="D11" s="76"/>
    </row>
    <row r="12" spans="1:4" ht="29" x14ac:dyDescent="0.35">
      <c r="A12" t="s">
        <v>102</v>
      </c>
      <c r="B12" t="s">
        <v>103</v>
      </c>
      <c r="C12" s="3" t="s">
        <v>104</v>
      </c>
      <c r="D12" s="76"/>
    </row>
    <row r="13" spans="1:4" x14ac:dyDescent="0.35">
      <c r="A13" s="4" t="s">
        <v>105</v>
      </c>
      <c r="B13" t="s">
        <v>83</v>
      </c>
      <c r="C13" s="3" t="s">
        <v>84</v>
      </c>
      <c r="D13" s="76"/>
    </row>
    <row r="14" spans="1:4" x14ac:dyDescent="0.35">
      <c r="A14" t="s">
        <v>106</v>
      </c>
      <c r="B14" t="s">
        <v>107</v>
      </c>
      <c r="C14" s="3" t="s">
        <v>108</v>
      </c>
      <c r="D14" s="76"/>
    </row>
    <row r="15" spans="1:4" x14ac:dyDescent="0.35">
      <c r="A15" t="s">
        <v>109</v>
      </c>
      <c r="B15" t="s">
        <v>110</v>
      </c>
      <c r="C15" s="3" t="s">
        <v>111</v>
      </c>
      <c r="D15" s="76"/>
    </row>
    <row r="16" spans="1:4" ht="29" x14ac:dyDescent="0.35">
      <c r="A16" t="s">
        <v>112</v>
      </c>
      <c r="B16" t="s">
        <v>113</v>
      </c>
      <c r="C16" s="3" t="s">
        <v>114</v>
      </c>
      <c r="D16" s="76"/>
    </row>
    <row r="17" spans="1:4" x14ac:dyDescent="0.35">
      <c r="A17" t="s">
        <v>116</v>
      </c>
      <c r="B17" t="s">
        <v>115</v>
      </c>
      <c r="C17" t="s">
        <v>117</v>
      </c>
      <c r="D17" s="76"/>
    </row>
    <row r="18" spans="1:4" x14ac:dyDescent="0.35">
      <c r="A18" t="s">
        <v>118</v>
      </c>
      <c r="B18" t="s">
        <v>119</v>
      </c>
      <c r="C18" t="s">
        <v>120</v>
      </c>
      <c r="D18" s="76"/>
    </row>
    <row r="19" spans="1:4" x14ac:dyDescent="0.35">
      <c r="A19" t="s">
        <v>122</v>
      </c>
      <c r="B19" t="s">
        <v>123</v>
      </c>
      <c r="C19" t="s">
        <v>124</v>
      </c>
      <c r="D19" s="76"/>
    </row>
  </sheetData>
  <mergeCells count="2">
    <mergeCell ref="D2:D8"/>
    <mergeCell ref="D10:D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458D-6B98-4E37-B4A8-BEF3E7B41848}">
  <dimension ref="A1:I5"/>
  <sheetViews>
    <sheetView workbookViewId="0">
      <selection activeCell="H3" sqref="H3"/>
    </sheetView>
  </sheetViews>
  <sheetFormatPr defaultRowHeight="14.5" x14ac:dyDescent="0.35"/>
  <cols>
    <col min="1" max="1" width="25.54296875" style="7" customWidth="1"/>
    <col min="2" max="2" width="11.36328125" style="7" customWidth="1"/>
    <col min="3" max="3" width="12.1796875" style="7" customWidth="1"/>
    <col min="4" max="4" width="45.6328125" style="7" customWidth="1"/>
    <col min="5" max="5" width="19.7265625" style="7" customWidth="1"/>
    <col min="6" max="6" width="31.453125" style="7" customWidth="1"/>
    <col min="7" max="7" width="17.81640625" style="7" customWidth="1"/>
    <col min="8" max="8" width="33.6328125" style="7" customWidth="1"/>
    <col min="9" max="9" width="55.1796875" style="20" customWidth="1"/>
    <col min="10" max="16384" width="8.7265625" style="7"/>
  </cols>
  <sheetData>
    <row r="1" spans="1:9" s="17" customFormat="1" ht="32" x14ac:dyDescent="0.35">
      <c r="A1" s="8" t="s">
        <v>125</v>
      </c>
      <c r="B1" s="9" t="s">
        <v>126</v>
      </c>
      <c r="C1" s="9" t="s">
        <v>127</v>
      </c>
      <c r="D1" s="9" t="s">
        <v>128</v>
      </c>
      <c r="E1" s="10" t="s">
        <v>138</v>
      </c>
      <c r="F1" s="9" t="s">
        <v>139</v>
      </c>
      <c r="G1" s="9" t="s">
        <v>136</v>
      </c>
      <c r="H1" s="9" t="s">
        <v>133</v>
      </c>
      <c r="I1" s="9" t="s">
        <v>141</v>
      </c>
    </row>
    <row r="2" spans="1:9" ht="130.5" x14ac:dyDescent="0.35">
      <c r="A2" s="11" t="s">
        <v>71</v>
      </c>
      <c r="B2" s="12" t="s">
        <v>72</v>
      </c>
      <c r="C2" s="12" t="s">
        <v>73</v>
      </c>
      <c r="D2" s="12" t="s">
        <v>131</v>
      </c>
      <c r="E2" s="13" t="s">
        <v>129</v>
      </c>
      <c r="F2" s="14" t="s">
        <v>140</v>
      </c>
      <c r="G2" s="7" t="s">
        <v>137</v>
      </c>
      <c r="H2" s="14" t="s">
        <v>132</v>
      </c>
      <c r="I2" s="18" t="s">
        <v>146</v>
      </c>
    </row>
    <row r="3" spans="1:9" ht="114" customHeight="1" x14ac:dyDescent="0.35">
      <c r="A3" s="11" t="s">
        <v>71</v>
      </c>
      <c r="B3" s="12" t="s">
        <v>72</v>
      </c>
      <c r="C3" s="12" t="s">
        <v>73</v>
      </c>
      <c r="D3" s="12" t="s">
        <v>74</v>
      </c>
      <c r="E3" s="13" t="s">
        <v>129</v>
      </c>
      <c r="F3" s="12" t="s">
        <v>142</v>
      </c>
      <c r="G3" s="7" t="s">
        <v>137</v>
      </c>
      <c r="H3" s="12" t="s">
        <v>134</v>
      </c>
      <c r="I3" s="19" t="s">
        <v>144</v>
      </c>
    </row>
    <row r="4" spans="1:9" ht="105.5" customHeight="1" x14ac:dyDescent="0.35">
      <c r="A4" s="11" t="s">
        <v>71</v>
      </c>
      <c r="B4" s="12" t="s">
        <v>72</v>
      </c>
      <c r="C4" s="12" t="s">
        <v>73</v>
      </c>
      <c r="D4" s="12" t="s">
        <v>130</v>
      </c>
      <c r="E4" s="13" t="s">
        <v>129</v>
      </c>
      <c r="F4" s="12" t="s">
        <v>143</v>
      </c>
      <c r="G4" s="7" t="s">
        <v>137</v>
      </c>
      <c r="H4" s="12" t="s">
        <v>135</v>
      </c>
      <c r="I4" s="19" t="s">
        <v>144</v>
      </c>
    </row>
    <row r="5" spans="1:9" ht="72.5" x14ac:dyDescent="0.35">
      <c r="A5" s="15" t="s">
        <v>71</v>
      </c>
      <c r="B5" s="16" t="s">
        <v>72</v>
      </c>
      <c r="C5" s="16" t="s">
        <v>73</v>
      </c>
      <c r="D5" s="16" t="s">
        <v>75</v>
      </c>
      <c r="E5" s="13" t="s">
        <v>129</v>
      </c>
      <c r="F5" s="12" t="s">
        <v>143</v>
      </c>
      <c r="G5" s="7" t="s">
        <v>137</v>
      </c>
      <c r="H5" s="16" t="s">
        <v>135</v>
      </c>
      <c r="I5" s="19" t="s">
        <v>145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43C0D-6516-428B-8B79-FB94E98AC097}">
  <dimension ref="A1:F6"/>
  <sheetViews>
    <sheetView workbookViewId="0">
      <selection activeCell="H8" sqref="H8"/>
    </sheetView>
  </sheetViews>
  <sheetFormatPr defaultColWidth="22.90625" defaultRowHeight="15.5" x14ac:dyDescent="0.35"/>
  <cols>
    <col min="1" max="1" width="8.7265625" style="22" bestFit="1" customWidth="1"/>
    <col min="2" max="2" width="29.453125" style="22" customWidth="1"/>
    <col min="3" max="3" width="42.1796875" style="23" customWidth="1"/>
    <col min="4" max="4" width="22.26953125" style="23" bestFit="1" customWidth="1"/>
    <col min="5" max="5" width="22.6328125" style="23" bestFit="1" customWidth="1"/>
    <col min="6" max="6" width="22.36328125" style="23" bestFit="1" customWidth="1"/>
    <col min="7" max="16384" width="22.90625" style="21"/>
  </cols>
  <sheetData>
    <row r="1" spans="1:6" ht="16" x14ac:dyDescent="0.35">
      <c r="A1" s="27" t="s">
        <v>148</v>
      </c>
      <c r="B1" s="28" t="s">
        <v>161</v>
      </c>
      <c r="C1" s="30" t="s">
        <v>149</v>
      </c>
      <c r="D1" s="31" t="s">
        <v>150</v>
      </c>
      <c r="E1" s="31" t="s">
        <v>152</v>
      </c>
      <c r="F1" s="31" t="s">
        <v>147</v>
      </c>
    </row>
    <row r="2" spans="1:6" ht="132.5" customHeight="1" x14ac:dyDescent="0.35">
      <c r="A2" s="25">
        <v>1</v>
      </c>
      <c r="B2" s="29" t="s">
        <v>151</v>
      </c>
      <c r="C2" s="32" t="s">
        <v>164</v>
      </c>
      <c r="D2" s="32" t="s">
        <v>163</v>
      </c>
      <c r="E2" s="32" t="s">
        <v>165</v>
      </c>
      <c r="F2" s="32" t="s">
        <v>166</v>
      </c>
    </row>
    <row r="3" spans="1:6" ht="59.5" customHeight="1" x14ac:dyDescent="0.35">
      <c r="A3" s="26">
        <v>2</v>
      </c>
      <c r="B3" s="24" t="s">
        <v>155</v>
      </c>
      <c r="C3" s="23" t="s">
        <v>153</v>
      </c>
      <c r="D3" s="23" t="s">
        <v>154</v>
      </c>
      <c r="E3" s="32" t="s">
        <v>167</v>
      </c>
      <c r="F3" s="32" t="s">
        <v>156</v>
      </c>
    </row>
    <row r="4" spans="1:6" ht="48" x14ac:dyDescent="0.35">
      <c r="A4" s="24">
        <v>3</v>
      </c>
      <c r="B4" s="24" t="s">
        <v>157</v>
      </c>
      <c r="C4" s="32" t="s">
        <v>159</v>
      </c>
      <c r="D4" s="32" t="s">
        <v>162</v>
      </c>
      <c r="E4" s="32" t="s">
        <v>160</v>
      </c>
      <c r="F4" s="32" t="s">
        <v>158</v>
      </c>
    </row>
    <row r="5" spans="1:6" x14ac:dyDescent="0.35">
      <c r="A5" s="33">
        <v>4</v>
      </c>
      <c r="B5" s="33" t="s">
        <v>187</v>
      </c>
      <c r="C5" s="34" t="s">
        <v>188</v>
      </c>
      <c r="D5" s="34" t="s">
        <v>122</v>
      </c>
      <c r="E5" s="34"/>
      <c r="F5" s="46" t="s">
        <v>189</v>
      </c>
    </row>
    <row r="6" spans="1:6" x14ac:dyDescent="0.35">
      <c r="A6" s="33"/>
      <c r="B6" s="33"/>
      <c r="C6" s="34"/>
      <c r="D6" s="34"/>
      <c r="E6" s="34"/>
      <c r="F6" s="3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3E4F7-32B0-4B84-842A-EAE84943A2C4}">
  <dimension ref="A1:Z43"/>
  <sheetViews>
    <sheetView tabSelected="1" topLeftCell="D26" zoomScale="115" zoomScaleNormal="115" workbookViewId="0">
      <selection activeCell="K46" sqref="K46"/>
    </sheetView>
  </sheetViews>
  <sheetFormatPr defaultRowHeight="14.5" x14ac:dyDescent="0.35"/>
  <cols>
    <col min="1" max="1" width="2.81640625" bestFit="1" customWidth="1"/>
    <col min="2" max="2" width="4.453125" bestFit="1" customWidth="1"/>
    <col min="7" max="7" width="9.81640625" customWidth="1"/>
    <col min="8" max="8" width="6.7265625" hidden="1" customWidth="1"/>
    <col min="9" max="9" width="43.1796875" customWidth="1"/>
    <col min="10" max="10" width="15.36328125" customWidth="1"/>
    <col min="11" max="11" width="27" customWidth="1"/>
    <col min="12" max="12" width="22.08984375" customWidth="1"/>
    <col min="13" max="13" width="24.1796875" customWidth="1"/>
    <col min="14" max="14" width="9.90625" customWidth="1"/>
    <col min="15" max="15" width="15.36328125" customWidth="1"/>
    <col min="16" max="16" width="17.90625" customWidth="1"/>
    <col min="17" max="17" width="5.453125" customWidth="1"/>
    <col min="18" max="18" width="16.26953125" style="3" customWidth="1"/>
    <col min="19" max="19" width="8.7265625" customWidth="1"/>
    <col min="20" max="20" width="13.08984375" customWidth="1"/>
    <col min="21" max="21" width="5.453125" bestFit="1" customWidth="1"/>
    <col min="22" max="22" width="17.54296875" style="3" customWidth="1"/>
  </cols>
  <sheetData>
    <row r="1" spans="1:22" x14ac:dyDescent="0.35">
      <c r="A1" s="77" t="s">
        <v>190</v>
      </c>
      <c r="B1" s="77"/>
      <c r="C1" s="77"/>
      <c r="D1" s="77"/>
      <c r="E1" s="77"/>
    </row>
    <row r="2" spans="1:22" x14ac:dyDescent="0.35">
      <c r="A2" cm="1">
        <f t="array" ref="A2:A21">_xlfn.SEQUENCE(20)</f>
        <v>1</v>
      </c>
    </row>
    <row r="3" spans="1:22" x14ac:dyDescent="0.35">
      <c r="A3">
        <v>2</v>
      </c>
    </row>
    <row r="4" spans="1:22" s="4" customFormat="1" x14ac:dyDescent="0.35">
      <c r="A4" s="4">
        <v>3</v>
      </c>
      <c r="R4" s="60"/>
      <c r="V4" s="60"/>
    </row>
    <row r="5" spans="1:22" x14ac:dyDescent="0.35">
      <c r="A5">
        <v>4</v>
      </c>
    </row>
    <row r="6" spans="1:22" x14ac:dyDescent="0.35">
      <c r="A6">
        <v>5</v>
      </c>
    </row>
    <row r="7" spans="1:22" x14ac:dyDescent="0.35">
      <c r="A7">
        <v>6</v>
      </c>
    </row>
    <row r="8" spans="1:22" x14ac:dyDescent="0.35">
      <c r="A8">
        <v>7</v>
      </c>
    </row>
    <row r="9" spans="1:22" x14ac:dyDescent="0.35">
      <c r="A9">
        <v>8</v>
      </c>
    </row>
    <row r="10" spans="1:22" x14ac:dyDescent="0.35">
      <c r="A10">
        <v>9</v>
      </c>
    </row>
    <row r="11" spans="1:22" x14ac:dyDescent="0.35">
      <c r="A11">
        <v>10</v>
      </c>
    </row>
    <row r="12" spans="1:22" x14ac:dyDescent="0.35">
      <c r="A12">
        <v>11</v>
      </c>
    </row>
    <row r="13" spans="1:22" x14ac:dyDescent="0.35">
      <c r="A13">
        <v>12</v>
      </c>
    </row>
    <row r="14" spans="1:22" x14ac:dyDescent="0.35">
      <c r="A14">
        <v>13</v>
      </c>
    </row>
    <row r="15" spans="1:22" x14ac:dyDescent="0.35">
      <c r="A15">
        <v>14</v>
      </c>
    </row>
    <row r="16" spans="1:22" x14ac:dyDescent="0.35">
      <c r="A16">
        <v>15</v>
      </c>
    </row>
    <row r="17" spans="1:26" x14ac:dyDescent="0.35">
      <c r="A17">
        <v>16</v>
      </c>
    </row>
    <row r="18" spans="1:26" x14ac:dyDescent="0.35">
      <c r="A18">
        <v>17</v>
      </c>
    </row>
    <row r="19" spans="1:26" x14ac:dyDescent="0.35">
      <c r="A19">
        <v>18</v>
      </c>
    </row>
    <row r="20" spans="1:26" x14ac:dyDescent="0.35">
      <c r="A20">
        <v>19</v>
      </c>
    </row>
    <row r="21" spans="1:26" ht="27.5" customHeight="1" x14ac:dyDescent="0.35">
      <c r="A21">
        <v>20</v>
      </c>
      <c r="V21" s="3" t="s">
        <v>201</v>
      </c>
    </row>
    <row r="22" spans="1:26" ht="27.5" customHeight="1" x14ac:dyDescent="0.35">
      <c r="B22" t="s">
        <v>191</v>
      </c>
      <c r="E22" s="70" t="s">
        <v>178</v>
      </c>
      <c r="F22" s="70" t="s">
        <v>178</v>
      </c>
      <c r="G22" s="66" t="s">
        <v>204</v>
      </c>
      <c r="H22" s="67"/>
      <c r="I22" s="67">
        <v>45991</v>
      </c>
      <c r="J22" s="66">
        <v>45992</v>
      </c>
      <c r="K22" s="67"/>
      <c r="L22" s="66">
        <v>46011</v>
      </c>
      <c r="M22" s="67"/>
      <c r="N22" s="71">
        <v>46012</v>
      </c>
      <c r="O22" s="66">
        <v>46016</v>
      </c>
      <c r="P22" s="66">
        <v>46022</v>
      </c>
      <c r="Q22" s="66"/>
      <c r="R22" s="73">
        <v>46025</v>
      </c>
      <c r="S22" s="64"/>
      <c r="T22" s="72">
        <v>46042</v>
      </c>
      <c r="U22" s="68"/>
      <c r="V22" s="65">
        <v>46053</v>
      </c>
    </row>
    <row r="23" spans="1:26" ht="50" customHeight="1" x14ac:dyDescent="0.4"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63" t="s">
        <v>202</v>
      </c>
      <c r="S23" s="49"/>
      <c r="T23" s="49"/>
      <c r="U23" s="49"/>
      <c r="V23" s="61" t="s">
        <v>206</v>
      </c>
      <c r="W23" s="48"/>
      <c r="X23" s="48"/>
      <c r="Y23" s="48"/>
      <c r="Z23" s="48"/>
    </row>
    <row r="24" spans="1:26" ht="45.5" customHeight="1" x14ac:dyDescent="0.35">
      <c r="E24" s="80" t="s">
        <v>199</v>
      </c>
      <c r="F24" s="80"/>
      <c r="G24" s="80"/>
      <c r="H24" s="80"/>
      <c r="I24" s="80"/>
      <c r="J24" s="78" t="s">
        <v>203</v>
      </c>
      <c r="K24" s="78"/>
      <c r="L24" s="78"/>
      <c r="M24" s="78"/>
      <c r="N24" s="78"/>
      <c r="O24" s="78"/>
      <c r="P24" s="78"/>
      <c r="Q24" s="59"/>
    </row>
    <row r="25" spans="1:26" ht="17.5" customHeight="1" x14ac:dyDescent="0.35"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</row>
    <row r="26" spans="1:26" ht="27.5" customHeight="1" x14ac:dyDescent="0.35">
      <c r="E26" s="81" t="s">
        <v>199</v>
      </c>
      <c r="F26" s="81"/>
      <c r="G26" s="81"/>
      <c r="H26" s="81"/>
      <c r="I26" s="81"/>
      <c r="J26" s="81"/>
      <c r="K26" s="81"/>
      <c r="L26" s="81"/>
      <c r="M26" s="81"/>
      <c r="N26" s="82" t="s">
        <v>205</v>
      </c>
      <c r="O26" s="82"/>
      <c r="P26" s="82"/>
      <c r="Q26" s="82"/>
      <c r="R26" s="82"/>
      <c r="S26" s="82"/>
      <c r="T26" s="82"/>
      <c r="U26" s="69"/>
    </row>
    <row r="28" spans="1:26" x14ac:dyDescent="0.35">
      <c r="N28" s="79"/>
      <c r="O28" s="79"/>
      <c r="P28" s="79"/>
      <c r="Q28" s="58"/>
    </row>
    <row r="29" spans="1:26" x14ac:dyDescent="0.35">
      <c r="L29" s="48"/>
      <c r="M29" s="48"/>
      <c r="N29" s="48"/>
      <c r="O29" s="48"/>
      <c r="P29" s="48"/>
      <c r="Q29" s="48"/>
      <c r="R29" s="62"/>
      <c r="S29" s="48"/>
      <c r="T29" s="48"/>
      <c r="U29" s="48"/>
      <c r="V29" s="62"/>
    </row>
    <row r="34" spans="9:13" ht="29" x14ac:dyDescent="0.35">
      <c r="I34" s="54" t="s">
        <v>192</v>
      </c>
      <c r="J34" s="55" t="s">
        <v>193</v>
      </c>
      <c r="K34" s="55" t="s">
        <v>200</v>
      </c>
      <c r="L34" s="55" t="s">
        <v>194</v>
      </c>
      <c r="M34" s="55" t="s">
        <v>147</v>
      </c>
    </row>
    <row r="35" spans="9:13" ht="56.5" x14ac:dyDescent="0.35">
      <c r="I35" s="56" t="s">
        <v>209</v>
      </c>
      <c r="J35" s="57" t="s">
        <v>207</v>
      </c>
      <c r="K35" s="84" t="s">
        <v>211</v>
      </c>
      <c r="L35" s="57" t="s">
        <v>195</v>
      </c>
      <c r="M35" s="57" t="s">
        <v>196</v>
      </c>
    </row>
    <row r="36" spans="9:13" ht="43.5" x14ac:dyDescent="0.35">
      <c r="I36" s="56" t="s">
        <v>210</v>
      </c>
      <c r="J36" s="57" t="s">
        <v>208</v>
      </c>
      <c r="K36" s="84" t="s">
        <v>211</v>
      </c>
      <c r="L36" s="57" t="s">
        <v>195</v>
      </c>
      <c r="M36" s="57" t="s">
        <v>196</v>
      </c>
    </row>
    <row r="37" spans="9:13" x14ac:dyDescent="0.35">
      <c r="J37" s="50"/>
      <c r="K37" s="50"/>
      <c r="L37" s="50"/>
      <c r="M37" s="50"/>
    </row>
    <row r="41" spans="9:13" x14ac:dyDescent="0.35">
      <c r="I41" s="51"/>
      <c r="J41" s="52"/>
      <c r="K41" s="52"/>
      <c r="L41" s="52"/>
      <c r="M41" s="52"/>
    </row>
    <row r="42" spans="9:13" x14ac:dyDescent="0.35">
      <c r="I42" s="53"/>
      <c r="J42" s="51"/>
      <c r="K42" s="51"/>
      <c r="L42" s="51"/>
      <c r="M42" s="51"/>
    </row>
    <row r="43" spans="9:13" x14ac:dyDescent="0.35">
      <c r="I43" s="53"/>
      <c r="J43" s="51"/>
      <c r="K43" s="51"/>
      <c r="L43" s="51"/>
      <c r="M43" s="51"/>
    </row>
  </sheetData>
  <mergeCells count="6">
    <mergeCell ref="A1:E1"/>
    <mergeCell ref="J24:P24"/>
    <mergeCell ref="N28:P28"/>
    <mergeCell ref="E24:I24"/>
    <mergeCell ref="E26:M26"/>
    <mergeCell ref="N26:T26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F1C8C-36D1-45CB-8B77-3C20F84E78D7}">
  <dimension ref="A1:D6"/>
  <sheetViews>
    <sheetView topLeftCell="A2" workbookViewId="0">
      <selection activeCell="C2" sqref="C2"/>
    </sheetView>
  </sheetViews>
  <sheetFormatPr defaultRowHeight="14.5" x14ac:dyDescent="0.35"/>
  <cols>
    <col min="1" max="1" width="20.7265625" style="19" customWidth="1"/>
    <col min="2" max="2" width="20.36328125" style="12" customWidth="1"/>
    <col min="3" max="3" width="39" style="12" bestFit="1" customWidth="1"/>
    <col min="4" max="4" width="32.54296875" style="12" customWidth="1"/>
    <col min="5" max="16384" width="8.7265625" style="12"/>
  </cols>
  <sheetData>
    <row r="1" spans="1:4" s="45" customFormat="1" hidden="1" x14ac:dyDescent="0.35">
      <c r="A1" s="41" t="s">
        <v>161</v>
      </c>
      <c r="B1" s="42" t="s">
        <v>176</v>
      </c>
      <c r="C1" s="43" t="s">
        <v>177</v>
      </c>
      <c r="D1" s="44" t="s">
        <v>181</v>
      </c>
    </row>
    <row r="2" spans="1:4" x14ac:dyDescent="0.35">
      <c r="A2" s="37" t="s">
        <v>172</v>
      </c>
      <c r="B2" s="35" t="s">
        <v>170</v>
      </c>
      <c r="C2" s="12" t="s">
        <v>171</v>
      </c>
      <c r="D2" s="13"/>
    </row>
    <row r="3" spans="1:4" x14ac:dyDescent="0.35">
      <c r="A3" s="37" t="s">
        <v>179</v>
      </c>
      <c r="B3" s="36" t="s">
        <v>178</v>
      </c>
      <c r="C3" s="12" t="s">
        <v>173</v>
      </c>
      <c r="D3" s="13"/>
    </row>
    <row r="4" spans="1:4" ht="29" x14ac:dyDescent="0.35">
      <c r="A4" s="37" t="s">
        <v>168</v>
      </c>
      <c r="B4" s="12" t="s">
        <v>174</v>
      </c>
      <c r="C4" s="12" t="s">
        <v>180</v>
      </c>
      <c r="D4" s="13" t="s">
        <v>182</v>
      </c>
    </row>
    <row r="5" spans="1:4" ht="43.5" x14ac:dyDescent="0.35">
      <c r="A5" s="37" t="s">
        <v>183</v>
      </c>
      <c r="B5" s="12" t="s">
        <v>175</v>
      </c>
      <c r="C5" s="12" t="s">
        <v>186</v>
      </c>
      <c r="D5" s="13" t="s">
        <v>184</v>
      </c>
    </row>
    <row r="6" spans="1:4" ht="29" x14ac:dyDescent="0.35">
      <c r="A6" s="38" t="s">
        <v>169</v>
      </c>
      <c r="B6" s="39" t="s">
        <v>178</v>
      </c>
      <c r="C6" s="39" t="s">
        <v>178</v>
      </c>
      <c r="D6" s="40" t="s">
        <v>185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B2CAD-38A9-48D3-B215-8174F899F9D9}">
  <dimension ref="A1:A26"/>
  <sheetViews>
    <sheetView workbookViewId="0">
      <selection sqref="A1:A24"/>
    </sheetView>
  </sheetViews>
  <sheetFormatPr defaultRowHeight="14.5" x14ac:dyDescent="0.35"/>
  <cols>
    <col min="1" max="1" width="99" customWidth="1"/>
    <col min="2" max="2" width="108.81640625" customWidth="1"/>
  </cols>
  <sheetData>
    <row r="1" spans="1:1" ht="29" customHeight="1" x14ac:dyDescent="0.35">
      <c r="A1" s="83" t="s">
        <v>197</v>
      </c>
    </row>
    <row r="2" spans="1:1" x14ac:dyDescent="0.35">
      <c r="A2" s="83"/>
    </row>
    <row r="3" spans="1:1" x14ac:dyDescent="0.35">
      <c r="A3" s="83"/>
    </row>
    <row r="4" spans="1:1" x14ac:dyDescent="0.35">
      <c r="A4" s="83"/>
    </row>
    <row r="5" spans="1:1" x14ac:dyDescent="0.35">
      <c r="A5" s="83"/>
    </row>
    <row r="6" spans="1:1" x14ac:dyDescent="0.35">
      <c r="A6" s="83"/>
    </row>
    <row r="7" spans="1:1" x14ac:dyDescent="0.35">
      <c r="A7" s="83"/>
    </row>
    <row r="8" spans="1:1" x14ac:dyDescent="0.35">
      <c r="A8" s="83"/>
    </row>
    <row r="9" spans="1:1" x14ac:dyDescent="0.35">
      <c r="A9" s="83"/>
    </row>
    <row r="10" spans="1:1" x14ac:dyDescent="0.35">
      <c r="A10" s="83"/>
    </row>
    <row r="11" spans="1:1" x14ac:dyDescent="0.35">
      <c r="A11" s="83"/>
    </row>
    <row r="12" spans="1:1" x14ac:dyDescent="0.35">
      <c r="A12" s="83"/>
    </row>
    <row r="13" spans="1:1" x14ac:dyDescent="0.35">
      <c r="A13" s="83"/>
    </row>
    <row r="14" spans="1:1" x14ac:dyDescent="0.35">
      <c r="A14" s="83"/>
    </row>
    <row r="15" spans="1:1" x14ac:dyDescent="0.35">
      <c r="A15" s="83"/>
    </row>
    <row r="16" spans="1:1" x14ac:dyDescent="0.35">
      <c r="A16" s="83"/>
    </row>
    <row r="17" spans="1:1" x14ac:dyDescent="0.35">
      <c r="A17" s="83"/>
    </row>
    <row r="18" spans="1:1" x14ac:dyDescent="0.35">
      <c r="A18" s="83"/>
    </row>
    <row r="19" spans="1:1" x14ac:dyDescent="0.35">
      <c r="A19" s="83"/>
    </row>
    <row r="20" spans="1:1" x14ac:dyDescent="0.35">
      <c r="A20" s="83"/>
    </row>
    <row r="21" spans="1:1" x14ac:dyDescent="0.35">
      <c r="A21" s="83"/>
    </row>
    <row r="22" spans="1:1" x14ac:dyDescent="0.35">
      <c r="A22" s="83"/>
    </row>
    <row r="23" spans="1:1" x14ac:dyDescent="0.35">
      <c r="A23" s="83"/>
    </row>
    <row r="24" spans="1:1" x14ac:dyDescent="0.35">
      <c r="A24" s="83"/>
    </row>
    <row r="26" spans="1:1" x14ac:dyDescent="0.35">
      <c r="A26" s="47" t="s">
        <v>198</v>
      </c>
    </row>
  </sheetData>
  <mergeCells count="1">
    <mergeCell ref="A1:A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Leave Type</vt:lpstr>
      <vt:lpstr>Data Source</vt:lpstr>
      <vt:lpstr>28.10</vt:lpstr>
      <vt:lpstr>Requirement _2&amp;3_20251112</vt:lpstr>
      <vt:lpstr>Feedback by HR team 3.11</vt:lpstr>
      <vt:lpstr>Dec-2025</vt:lpstr>
    </vt:vector>
  </TitlesOfParts>
  <Company>TTi VN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 Huu Nghia (VN.GRP-IT)</dc:creator>
  <cp:lastModifiedBy>Vo Huu Nghia (VN.GRP-IT)</cp:lastModifiedBy>
  <dcterms:created xsi:type="dcterms:W3CDTF">2025-08-21T07:06:14Z</dcterms:created>
  <dcterms:modified xsi:type="dcterms:W3CDTF">2026-02-02T02:23:37Z</dcterms:modified>
</cp:coreProperties>
</file>