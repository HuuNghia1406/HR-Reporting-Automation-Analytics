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tigroup-my.sharepoint.com/personal/huunghia_vo_ttigroup_com_vn/Documents/Documents/POWER-BI/HR Report/Document/"/>
    </mc:Choice>
  </mc:AlternateContent>
  <xr:revisionPtr revIDLastSave="115" documentId="13_ncr:1_{5E217832-E2D4-4BFF-9D79-E5F8594CCA8E}" xr6:coauthVersionLast="47" xr6:coauthVersionMax="47" xr10:uidLastSave="{7C51F9AA-0B86-4142-986A-28C9DB19AE8A}"/>
  <bookViews>
    <workbookView xWindow="-120" yWindow="-16320" windowWidth="29040" windowHeight="15720" activeTab="1" xr2:uid="{00000000-000D-0000-FFFF-FFFF00000000}"/>
  </bookViews>
  <sheets>
    <sheet name="Report_2_&amp;_3" sheetId="1" r:id="rId1"/>
    <sheet name="Report_4" sheetId="5" r:id="rId2"/>
    <sheet name="Step_Overview" sheetId="2" state="hidden" r:id="rId3"/>
    <sheet name="Issue_Log" sheetId="3" state="hidden" r:id="rId4"/>
    <sheet name="Design DimEmployee" sheetId="4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F4" i="1" s="1"/>
  <c r="G4" i="1" s="1"/>
  <c r="F5" i="1" s="1"/>
  <c r="G5" i="1" s="1"/>
  <c r="F6" i="1" s="1"/>
  <c r="G6" i="1" s="1"/>
  <c r="F7" i="1" s="1"/>
  <c r="G7" i="1" s="1"/>
  <c r="F8" i="1" s="1"/>
  <c r="G8" i="1" s="1"/>
  <c r="F9" i="1" s="1"/>
  <c r="G9" i="1" s="1"/>
</calcChain>
</file>

<file path=xl/sharedStrings.xml><?xml version="1.0" encoding="utf-8"?>
<sst xmlns="http://schemas.openxmlformats.org/spreadsheetml/2006/main" count="152" uniqueCount="90">
  <si>
    <t>Owner</t>
  </si>
  <si>
    <t>Stakeholder</t>
  </si>
  <si>
    <t>Plan Start</t>
  </si>
  <si>
    <t>Plan End</t>
  </si>
  <si>
    <t>Actual Start</t>
  </si>
  <si>
    <t>Actual End</t>
  </si>
  <si>
    <t>Status</t>
  </si>
  <si>
    <t>Delay Reason</t>
  </si>
  <si>
    <t>Pending At</t>
  </si>
  <si>
    <t>New ETA</t>
  </si>
  <si>
    <t>Comment</t>
  </si>
  <si>
    <t>Requirement Gathering</t>
  </si>
  <si>
    <t>Done</t>
  </si>
  <si>
    <t>T2</t>
  </si>
  <si>
    <t>IT Team</t>
  </si>
  <si>
    <t>05-Dec</t>
  </si>
  <si>
    <t>Description</t>
  </si>
  <si>
    <t>Start</t>
  </si>
  <si>
    <t>End</t>
  </si>
  <si>
    <t>Issue ID</t>
  </si>
  <si>
    <t>Related Task</t>
  </si>
  <si>
    <t>Issue Description</t>
  </si>
  <si>
    <t>ETA</t>
  </si>
  <si>
    <t>Waiting database permission</t>
  </si>
  <si>
    <t>Open</t>
  </si>
  <si>
    <t>Parse</t>
  </si>
  <si>
    <t>Parse 1</t>
  </si>
  <si>
    <t>Parse 2</t>
  </si>
  <si>
    <t>Parse 3</t>
  </si>
  <si>
    <t>Nghĩa</t>
  </si>
  <si>
    <t>Fiona, Serverus</t>
  </si>
  <si>
    <t>Stan</t>
  </si>
  <si>
    <t>Parse 4</t>
  </si>
  <si>
    <t>Parse 5</t>
  </si>
  <si>
    <t>Feedback dashboard (draft)</t>
  </si>
  <si>
    <t>Create dashboard (draft)</t>
  </si>
  <si>
    <t>Parse 6</t>
  </si>
  <si>
    <t>Parse 7</t>
  </si>
  <si>
    <t>Parse 8</t>
  </si>
  <si>
    <t>Update dashboard (UAT)</t>
  </si>
  <si>
    <t>UAT confirm</t>
  </si>
  <si>
    <t>Setting data load to PROD</t>
  </si>
  <si>
    <t>Go live</t>
  </si>
  <si>
    <t>-</t>
  </si>
  <si>
    <t>Create BI view and Grant permission</t>
  </si>
  <si>
    <t>Nghĩa,Vinh</t>
  </si>
  <si>
    <t>Nghia, Vinh, Kelly</t>
  </si>
  <si>
    <t>Parse ID</t>
  </si>
  <si>
    <t>P1</t>
  </si>
  <si>
    <t>P2</t>
  </si>
  <si>
    <t>P3</t>
  </si>
  <si>
    <t>P4</t>
  </si>
  <si>
    <t>P5</t>
  </si>
  <si>
    <t>P6</t>
  </si>
  <si>
    <t>P7</t>
  </si>
  <si>
    <t>P8</t>
  </si>
  <si>
    <t>Parse Name</t>
  </si>
  <si>
    <t>New Year Holidays</t>
  </si>
  <si>
    <t xml:space="preserve"> 26-Dec: Stan is working
02-Jan: Fiona and Nghia is working</t>
  </si>
  <si>
    <t>Fiona, Nghia</t>
  </si>
  <si>
    <t>EMPLOYEE_GROUP</t>
  </si>
  <si>
    <t>EMPLOYEE_NAME</t>
  </si>
  <si>
    <t>JOB_TITLE</t>
  </si>
  <si>
    <t>EMPLOYEE_ID</t>
  </si>
  <si>
    <t>CODE_CENTER</t>
  </si>
  <si>
    <t>TYPE</t>
  </si>
  <si>
    <t>EMPLOYEE_TYPE</t>
  </si>
  <si>
    <t>JOINING_DATE</t>
  </si>
  <si>
    <t>LAST_WD</t>
  </si>
  <si>
    <t>000003</t>
  </si>
  <si>
    <t>OF</t>
  </si>
  <si>
    <t>Trần Thụy Linh An</t>
  </si>
  <si>
    <t>Vice President, Human Resources and Strategic Projects</t>
  </si>
  <si>
    <t>8732</t>
  </si>
  <si>
    <t>Staff</t>
  </si>
  <si>
    <t>Permanent</t>
  </si>
  <si>
    <t/>
  </si>
  <si>
    <t>000001</t>
  </si>
  <si>
    <t>Trần Minh Hiền</t>
  </si>
  <si>
    <t>Vice President, Finance &amp; Accounting</t>
  </si>
  <si>
    <t>8782</t>
  </si>
  <si>
    <t>000004</t>
  </si>
  <si>
    <t>Nguyễn Thị Thanh</t>
  </si>
  <si>
    <t>QMS &amp; Interpreter Supervisor</t>
  </si>
  <si>
    <t>6755</t>
  </si>
  <si>
    <t>Stan, James</t>
  </si>
  <si>
    <t>In Progress</t>
  </si>
  <si>
    <t>26-Jan: Stan is working on it</t>
  </si>
  <si>
    <t>Stan, Nghia</t>
  </si>
  <si>
    <t>Tuyet Phuong,Fiona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</si>
</sst>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3" fillId="0" borderId="0" xfId="0" applyFont="1"/>
    <xf numFmtId="14" fontId="3" fillId="0" borderId="0" xfId="0" applyNumberFormat="1" applyFont="1"/>
    <xf numFmtId="15" fontId="3" fillId="0" borderId="0" xfId="0" applyNumberFormat="1" applyFont="1"/>
    <xf numFmtId="164" fontId="2" fillId="0" borderId="1" xfId="0" quotePrefix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5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[$-409]d\-mmm\-yy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[$-409]d\-mmm\-yy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EBF1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00AE5D-EF02-458F-A74C-967CB910C910}" name="Table1" displayName="Table1" ref="A1:N9" totalsRowShown="0" headerRowDxfId="22" dataDxfId="21">
  <autoFilter ref="A1:N9" xr:uid="{DE00AE5D-EF02-458F-A74C-967CB910C910}"/>
  <tableColumns count="14">
    <tableColumn id="1" xr3:uid="{F89E1847-0466-4DFD-A837-A639FC898F86}" name="Parse" dataDxfId="20"/>
    <tableColumn id="2" xr3:uid="{AD038BB4-339F-4363-9C7D-3CED92CDB70B}" name="Parse ID" dataDxfId="19"/>
    <tableColumn id="3" xr3:uid="{32C85D3F-B9AF-44BF-A1CD-6ECEE611A353}" name="Parse Name" dataDxfId="18"/>
    <tableColumn id="4" xr3:uid="{9C19704F-1D81-44EC-8826-76F15979D816}" name="Owner" dataDxfId="17"/>
    <tableColumn id="5" xr3:uid="{8B04069E-CAC4-4605-8D99-24B2E3922D26}" name="Stakeholder" dataDxfId="16"/>
    <tableColumn id="6" xr3:uid="{7989FEBA-2484-4C9A-A6C5-CC5D1CE6FBFB}" name="Plan Start" dataDxfId="15"/>
    <tableColumn id="7" xr3:uid="{3CF2F054-675C-4345-997C-49E6C419DCCC}" name="Plan End" dataDxfId="14"/>
    <tableColumn id="8" xr3:uid="{A5177CE1-4FF4-4966-91B7-D9A5053602EB}" name="Actual Start" dataDxfId="13"/>
    <tableColumn id="9" xr3:uid="{94A1038C-6392-4E92-A62F-78686679B11E}" name="Actual End" dataDxfId="12"/>
    <tableColumn id="10" xr3:uid="{C03D228D-3913-4DAF-A287-25DC818AD09C}" name="Status" dataDxfId="11"/>
    <tableColumn id="11" xr3:uid="{BBD2D304-E4C6-4C89-8827-6602A7B11DE9}" name="Delay Reason" dataDxfId="10"/>
    <tableColumn id="12" xr3:uid="{B8D4A6E1-0C49-4B59-9EC6-31B1B2D71F9A}" name="Pending At" dataDxfId="9"/>
    <tableColumn id="13" xr3:uid="{0ABD14B8-8650-42EB-BC25-9C6913937DB5}" name="New ETA" dataDxfId="8"/>
    <tableColumn id="14" xr3:uid="{B9D55CF1-026B-4D28-A9A5-997AF1CF7956}" name="Comment" dataDxf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11CD93-4064-4C0E-99F3-A275CBA65885}" name="Table2" displayName="Table2" ref="A1:E3" totalsRowShown="0" headerRowDxfId="6" dataDxfId="5">
  <autoFilter ref="A1:E3" xr:uid="{2D11CD93-4064-4C0E-99F3-A275CBA65885}"/>
  <tableColumns count="5">
    <tableColumn id="1" xr3:uid="{C5174997-2830-4990-AFBA-BE6FBD614CEF}" name="Parse" dataDxfId="4"/>
    <tableColumn id="2" xr3:uid="{6C9C9A5B-2F78-4C89-A9CF-614DC60B2DC1}" name="Description" dataDxfId="3"/>
    <tableColumn id="3" xr3:uid="{E5826734-237D-4269-B313-22B9E97F9653}" name="Start" dataDxfId="2"/>
    <tableColumn id="4" xr3:uid="{80720255-D000-47ED-B2DA-D6C69C40E6C7}" name="End" dataDxfId="1"/>
    <tableColumn id="5" xr3:uid="{429277C8-FF37-420E-872B-C7721654A474}" name="Status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opLeftCell="C1" zoomScaleNormal="100" workbookViewId="0">
      <selection activeCell="C1" sqref="C1:N9"/>
    </sheetView>
  </sheetViews>
  <sheetFormatPr defaultRowHeight="15.5" x14ac:dyDescent="0.35"/>
  <cols>
    <col min="1" max="1" width="10.453125" style="4" hidden="1" customWidth="1"/>
    <col min="2" max="2" width="12" style="4" hidden="1" customWidth="1"/>
    <col min="3" max="3" width="34.08984375" style="4" bestFit="1" customWidth="1"/>
    <col min="4" max="4" width="14.54296875" style="4" bestFit="1" customWidth="1"/>
    <col min="5" max="5" width="19.36328125" style="4" customWidth="1"/>
    <col min="6" max="6" width="16.08984375" style="5" customWidth="1"/>
    <col min="7" max="7" width="16.81640625" style="5" customWidth="1"/>
    <col min="8" max="8" width="16.6328125" style="5" bestFit="1" customWidth="1"/>
    <col min="9" max="9" width="15.54296875" style="5" bestFit="1" customWidth="1"/>
    <col min="10" max="10" width="11.26953125" style="4" bestFit="1" customWidth="1"/>
    <col min="11" max="11" width="27.90625" style="4" customWidth="1"/>
    <col min="12" max="12" width="15.81640625" style="4" bestFit="1" customWidth="1"/>
    <col min="13" max="13" width="13.7265625" style="4" bestFit="1" customWidth="1"/>
    <col min="14" max="14" width="20.36328125" style="4" customWidth="1"/>
    <col min="15" max="16384" width="8.7265625" style="4"/>
  </cols>
  <sheetData>
    <row r="1" spans="1:14" x14ac:dyDescent="0.35">
      <c r="A1" s="4" t="s">
        <v>25</v>
      </c>
      <c r="B1" s="4" t="s">
        <v>47</v>
      </c>
      <c r="C1" s="4" t="s">
        <v>56</v>
      </c>
      <c r="D1" s="4" t="s">
        <v>0</v>
      </c>
      <c r="E1" s="4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</row>
    <row r="2" spans="1:14" x14ac:dyDescent="0.35">
      <c r="A2" s="4" t="s">
        <v>26</v>
      </c>
      <c r="B2" s="4" t="s">
        <v>48</v>
      </c>
      <c r="C2" s="4" t="s">
        <v>11</v>
      </c>
      <c r="D2" s="4" t="s">
        <v>45</v>
      </c>
      <c r="E2" s="4" t="s">
        <v>30</v>
      </c>
      <c r="F2" s="5">
        <v>46009</v>
      </c>
      <c r="G2" s="5">
        <v>46010</v>
      </c>
      <c r="H2" s="5">
        <v>46009</v>
      </c>
      <c r="I2" s="5">
        <v>46009</v>
      </c>
      <c r="J2" s="4" t="s">
        <v>12</v>
      </c>
    </row>
    <row r="3" spans="1:14" ht="46.5" x14ac:dyDescent="0.35">
      <c r="A3" s="4" t="s">
        <v>27</v>
      </c>
      <c r="B3" s="4" t="s">
        <v>49</v>
      </c>
      <c r="C3" s="4" t="s">
        <v>44</v>
      </c>
      <c r="D3" s="4" t="s">
        <v>31</v>
      </c>
      <c r="E3" s="4" t="s">
        <v>46</v>
      </c>
      <c r="F3" s="5">
        <f t="shared" ref="F3:F9" si="0">G2</f>
        <v>46010</v>
      </c>
      <c r="G3" s="5">
        <f>Table1[[#This Row],[Plan Start]]+7</f>
        <v>46017</v>
      </c>
      <c r="H3" s="5">
        <v>46010</v>
      </c>
      <c r="I3" s="10">
        <v>45663</v>
      </c>
      <c r="J3" s="4" t="s">
        <v>12</v>
      </c>
      <c r="K3" s="11" t="s">
        <v>58</v>
      </c>
      <c r="L3" s="4" t="s">
        <v>59</v>
      </c>
      <c r="M3" s="12">
        <v>46031</v>
      </c>
      <c r="N3" s="6" t="s">
        <v>57</v>
      </c>
    </row>
    <row r="4" spans="1:14" x14ac:dyDescent="0.35">
      <c r="A4" s="4" t="s">
        <v>28</v>
      </c>
      <c r="B4" s="4" t="s">
        <v>50</v>
      </c>
      <c r="C4" s="4" t="s">
        <v>35</v>
      </c>
      <c r="D4" s="4" t="s">
        <v>29</v>
      </c>
      <c r="E4" s="4" t="s">
        <v>30</v>
      </c>
      <c r="F4" s="5">
        <f t="shared" si="0"/>
        <v>46017</v>
      </c>
      <c r="G4" s="5">
        <f>Table1[[#This Row],[Plan Start]]+3</f>
        <v>46020</v>
      </c>
      <c r="H4" s="5">
        <v>46030</v>
      </c>
      <c r="I4" s="5">
        <v>46030</v>
      </c>
      <c r="J4" s="4" t="s">
        <v>12</v>
      </c>
    </row>
    <row r="5" spans="1:14" x14ac:dyDescent="0.35">
      <c r="A5" s="4" t="s">
        <v>32</v>
      </c>
      <c r="B5" s="4" t="s">
        <v>51</v>
      </c>
      <c r="C5" s="4" t="s">
        <v>34</v>
      </c>
      <c r="D5" s="4" t="s">
        <v>30</v>
      </c>
      <c r="E5" s="4" t="s">
        <v>29</v>
      </c>
      <c r="F5" s="5">
        <f t="shared" si="0"/>
        <v>46020</v>
      </c>
      <c r="G5" s="5">
        <f>Table1[[#This Row],[Plan Start]]+5</f>
        <v>46025</v>
      </c>
      <c r="H5" s="5">
        <v>46031</v>
      </c>
      <c r="I5" s="5">
        <v>46038</v>
      </c>
      <c r="J5" s="4" t="s">
        <v>12</v>
      </c>
    </row>
    <row r="6" spans="1:14" x14ac:dyDescent="0.35">
      <c r="A6" s="4" t="s">
        <v>33</v>
      </c>
      <c r="B6" s="4" t="s">
        <v>52</v>
      </c>
      <c r="C6" s="4" t="s">
        <v>39</v>
      </c>
      <c r="D6" s="4" t="s">
        <v>29</v>
      </c>
      <c r="E6" s="4" t="s">
        <v>30</v>
      </c>
      <c r="F6" s="5">
        <f t="shared" si="0"/>
        <v>46025</v>
      </c>
      <c r="G6" s="5">
        <f>Table1[[#This Row],[Plan Start]]+2</f>
        <v>46027</v>
      </c>
      <c r="H6" s="5">
        <v>46030</v>
      </c>
      <c r="I6" s="5">
        <v>46031</v>
      </c>
      <c r="J6" s="4" t="s">
        <v>12</v>
      </c>
    </row>
    <row r="7" spans="1:14" x14ac:dyDescent="0.35">
      <c r="A7" s="4" t="s">
        <v>36</v>
      </c>
      <c r="B7" s="4" t="s">
        <v>53</v>
      </c>
      <c r="C7" s="4" t="s">
        <v>40</v>
      </c>
      <c r="D7" s="4" t="s">
        <v>30</v>
      </c>
      <c r="E7" s="4" t="s">
        <v>29</v>
      </c>
      <c r="F7" s="5">
        <f t="shared" si="0"/>
        <v>46027</v>
      </c>
      <c r="G7" s="5">
        <f>Table1[[#This Row],[Plan Start]]+4</f>
        <v>46031</v>
      </c>
      <c r="H7" s="5">
        <v>46031</v>
      </c>
      <c r="I7" s="5">
        <v>46031</v>
      </c>
      <c r="J7" s="4" t="s">
        <v>12</v>
      </c>
    </row>
    <row r="8" spans="1:14" x14ac:dyDescent="0.35">
      <c r="A8" s="4" t="s">
        <v>37</v>
      </c>
      <c r="B8" s="4" t="s">
        <v>54</v>
      </c>
      <c r="C8" s="4" t="s">
        <v>41</v>
      </c>
      <c r="D8" s="4" t="s">
        <v>85</v>
      </c>
      <c r="E8" s="4" t="s">
        <v>29</v>
      </c>
      <c r="F8" s="5">
        <f t="shared" si="0"/>
        <v>46031</v>
      </c>
      <c r="G8" s="5">
        <f>Table1[[#This Row],[Plan Start]]+7</f>
        <v>46038</v>
      </c>
      <c r="H8" s="5">
        <v>46041</v>
      </c>
      <c r="I8" s="5">
        <v>46048</v>
      </c>
      <c r="J8" s="4" t="s">
        <v>12</v>
      </c>
      <c r="K8" s="4" t="s">
        <v>87</v>
      </c>
      <c r="L8" s="4" t="s">
        <v>88</v>
      </c>
      <c r="M8" s="12">
        <v>46050</v>
      </c>
    </row>
    <row r="9" spans="1:14" s="13" customFormat="1" x14ac:dyDescent="0.35">
      <c r="A9" s="13" t="s">
        <v>38</v>
      </c>
      <c r="B9" s="13" t="s">
        <v>55</v>
      </c>
      <c r="C9" s="13" t="s">
        <v>42</v>
      </c>
      <c r="D9" s="13" t="s">
        <v>29</v>
      </c>
      <c r="E9" s="14" t="s">
        <v>43</v>
      </c>
      <c r="F9" s="15">
        <f t="shared" si="0"/>
        <v>46038</v>
      </c>
      <c r="G9" s="15">
        <f>Table1[[#This Row],[Plan Start]]+2</f>
        <v>46040</v>
      </c>
      <c r="H9" s="15">
        <v>46048</v>
      </c>
      <c r="I9" s="15"/>
      <c r="J9" s="13" t="s">
        <v>86</v>
      </c>
      <c r="M9" s="16">
        <v>46052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9BCC-CBA8-49CE-AD96-11CA575D3B22}">
  <dimension ref="A1:L8"/>
  <sheetViews>
    <sheetView tabSelected="1" workbookViewId="0">
      <selection activeCell="H10" sqref="H10"/>
    </sheetView>
  </sheetViews>
  <sheetFormatPr defaultRowHeight="14.5" x14ac:dyDescent="0.35"/>
  <cols>
    <col min="1" max="1" width="34.08984375" bestFit="1" customWidth="1"/>
    <col min="2" max="2" width="21.36328125" customWidth="1"/>
    <col min="3" max="3" width="20.7265625" customWidth="1"/>
    <col min="4" max="5" width="10.08984375" bestFit="1" customWidth="1"/>
    <col min="6" max="6" width="11.26953125" bestFit="1" customWidth="1"/>
    <col min="7" max="7" width="10.453125" bestFit="1" customWidth="1"/>
    <col min="8" max="8" width="10.7265625" bestFit="1" customWidth="1"/>
    <col min="9" max="9" width="26.1796875" bestFit="1" customWidth="1"/>
    <col min="10" max="10" width="12.08984375" bestFit="1" customWidth="1"/>
    <col min="11" max="11" width="9.54296875" bestFit="1" customWidth="1"/>
    <col min="12" max="12" width="17.81640625" bestFit="1" customWidth="1"/>
  </cols>
  <sheetData>
    <row r="1" spans="1:12" ht="15.5" x14ac:dyDescent="0.35">
      <c r="A1" s="4" t="s">
        <v>56</v>
      </c>
      <c r="B1" s="4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ht="15.5" x14ac:dyDescent="0.35">
      <c r="A2" s="4" t="s">
        <v>11</v>
      </c>
      <c r="B2" s="4" t="s">
        <v>45</v>
      </c>
      <c r="C2" s="4" t="s">
        <v>89</v>
      </c>
      <c r="D2" s="5"/>
      <c r="E2" s="5"/>
      <c r="F2" s="5"/>
      <c r="G2" s="5"/>
      <c r="H2" s="4"/>
      <c r="I2" s="4"/>
      <c r="J2" s="4"/>
      <c r="K2" s="4"/>
      <c r="L2" s="4"/>
    </row>
    <row r="3" spans="1:12" ht="15.5" x14ac:dyDescent="0.35">
      <c r="A3" s="4" t="s">
        <v>35</v>
      </c>
      <c r="B3" s="4" t="s">
        <v>29</v>
      </c>
      <c r="C3" s="4" t="s">
        <v>89</v>
      </c>
      <c r="D3" s="5"/>
      <c r="E3" s="5"/>
      <c r="F3" s="5"/>
      <c r="G3" s="5"/>
      <c r="H3" s="4"/>
      <c r="I3" s="4"/>
      <c r="J3" s="4"/>
      <c r="K3" s="4"/>
      <c r="L3" s="4"/>
    </row>
    <row r="4" spans="1:12" ht="15.5" x14ac:dyDescent="0.35">
      <c r="A4" s="4" t="s">
        <v>34</v>
      </c>
      <c r="B4" s="4" t="s">
        <v>89</v>
      </c>
      <c r="C4" s="4" t="s">
        <v>29</v>
      </c>
      <c r="D4" s="5"/>
      <c r="E4" s="5"/>
      <c r="F4" s="5"/>
      <c r="G4" s="5"/>
      <c r="H4" s="4"/>
      <c r="I4" s="4"/>
      <c r="J4" s="4"/>
      <c r="K4" s="4"/>
      <c r="L4" s="4"/>
    </row>
    <row r="5" spans="1:12" ht="15.5" x14ac:dyDescent="0.35">
      <c r="A5" s="4" t="s">
        <v>39</v>
      </c>
      <c r="B5" s="4" t="s">
        <v>29</v>
      </c>
      <c r="C5" s="4" t="s">
        <v>89</v>
      </c>
      <c r="D5" s="5"/>
      <c r="E5" s="5"/>
      <c r="F5" s="5"/>
      <c r="G5" s="5"/>
      <c r="H5" s="4"/>
      <c r="I5" s="4"/>
      <c r="J5" s="4"/>
      <c r="K5" s="4"/>
      <c r="L5" s="4"/>
    </row>
    <row r="6" spans="1:12" ht="15.5" x14ac:dyDescent="0.35">
      <c r="A6" s="4" t="s">
        <v>40</v>
      </c>
      <c r="B6" s="4" t="s">
        <v>89</v>
      </c>
      <c r="C6" s="4" t="s">
        <v>29</v>
      </c>
      <c r="D6" s="5"/>
      <c r="E6" s="5"/>
      <c r="F6" s="5"/>
      <c r="G6" s="5"/>
      <c r="H6" s="4"/>
      <c r="I6" s="4"/>
      <c r="J6" s="4"/>
      <c r="K6" s="4"/>
      <c r="L6" s="4"/>
    </row>
    <row r="7" spans="1:12" ht="15.5" x14ac:dyDescent="0.35">
      <c r="A7" s="4" t="s">
        <v>41</v>
      </c>
      <c r="B7" s="4" t="s">
        <v>85</v>
      </c>
      <c r="C7" s="4" t="s">
        <v>29</v>
      </c>
      <c r="D7" s="5"/>
      <c r="E7" s="5"/>
      <c r="F7" s="5"/>
      <c r="G7" s="5"/>
      <c r="H7" s="4"/>
      <c r="I7" s="4"/>
      <c r="J7" s="4"/>
      <c r="K7" s="12"/>
      <c r="L7" s="4"/>
    </row>
    <row r="8" spans="1:12" ht="15.5" x14ac:dyDescent="0.35">
      <c r="A8" s="13" t="s">
        <v>42</v>
      </c>
      <c r="B8" s="13" t="s">
        <v>29</v>
      </c>
      <c r="C8" s="14" t="s">
        <v>43</v>
      </c>
      <c r="D8" s="15"/>
      <c r="E8" s="15"/>
      <c r="F8" s="15"/>
      <c r="G8" s="15"/>
      <c r="H8" s="13"/>
      <c r="I8" s="13"/>
      <c r="J8" s="13"/>
      <c r="K8" s="16"/>
      <c r="L8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5.5" x14ac:dyDescent="0.35"/>
  <cols>
    <col min="1" max="1" width="12.90625" style="2" customWidth="1"/>
    <col min="2" max="2" width="44.90625" style="2" customWidth="1"/>
    <col min="3" max="3" width="18.81640625" style="3" customWidth="1"/>
    <col min="4" max="4" width="25.1796875" style="3" customWidth="1"/>
    <col min="5" max="5" width="15.453125" style="2" customWidth="1"/>
    <col min="6" max="16384" width="8.7265625" style="2"/>
  </cols>
  <sheetData>
    <row r="1" spans="1:5" x14ac:dyDescent="0.35">
      <c r="A1" s="2" t="s">
        <v>25</v>
      </c>
      <c r="B1" s="2" t="s">
        <v>16</v>
      </c>
      <c r="C1" s="3" t="s">
        <v>17</v>
      </c>
      <c r="D1" s="3" t="s">
        <v>18</v>
      </c>
      <c r="E1" s="2" t="s">
        <v>6</v>
      </c>
    </row>
    <row r="2" spans="1:5" x14ac:dyDescent="0.35">
      <c r="A2" s="2" t="s">
        <v>26</v>
      </c>
      <c r="B2" s="2" t="s">
        <v>11</v>
      </c>
      <c r="C2" s="3">
        <v>46013</v>
      </c>
      <c r="D2" s="3">
        <v>46014</v>
      </c>
      <c r="E2" s="2" t="s">
        <v>12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J15" sqref="J15:J16"/>
    </sheetView>
  </sheetViews>
  <sheetFormatPr defaultRowHeight="14.5" x14ac:dyDescent="0.35"/>
  <cols>
    <col min="1" max="1" width="15.81640625" style="1" customWidth="1"/>
    <col min="2" max="2" width="22.453125" style="1" customWidth="1"/>
    <col min="3" max="3" width="25.90625" style="1" bestFit="1" customWidth="1"/>
    <col min="4" max="4" width="20" style="1" customWidth="1"/>
    <col min="5" max="5" width="18.26953125" style="1" customWidth="1"/>
    <col min="6" max="6" width="19.7265625" style="1" customWidth="1"/>
    <col min="7" max="16384" width="8.7265625" style="1"/>
  </cols>
  <sheetData>
    <row r="1" spans="1:6" x14ac:dyDescent="0.35">
      <c r="A1" s="1" t="s">
        <v>19</v>
      </c>
      <c r="B1" s="1" t="s">
        <v>20</v>
      </c>
      <c r="C1" s="1" t="s">
        <v>21</v>
      </c>
      <c r="D1" s="1" t="s">
        <v>0</v>
      </c>
      <c r="E1" s="1" t="s">
        <v>6</v>
      </c>
      <c r="F1" s="1" t="s">
        <v>22</v>
      </c>
    </row>
    <row r="2" spans="1:6" x14ac:dyDescent="0.35">
      <c r="A2" s="1">
        <v>1</v>
      </c>
      <c r="B2" s="1" t="s">
        <v>13</v>
      </c>
      <c r="C2" s="1" t="s">
        <v>23</v>
      </c>
      <c r="D2" s="1" t="s">
        <v>14</v>
      </c>
      <c r="E2" s="1" t="s">
        <v>24</v>
      </c>
      <c r="F2" s="1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6DE84-DC7C-4C10-BB4B-C0764D9AEBEB}">
  <dimension ref="A1:I4"/>
  <sheetViews>
    <sheetView workbookViewId="0">
      <selection activeCell="D21" sqref="D21"/>
    </sheetView>
  </sheetViews>
  <sheetFormatPr defaultRowHeight="14.5" x14ac:dyDescent="0.35"/>
  <cols>
    <col min="1" max="1" width="12.54296875" bestFit="1" customWidth="1"/>
    <col min="2" max="2" width="16.90625" bestFit="1" customWidth="1"/>
    <col min="3" max="3" width="16.1796875" bestFit="1" customWidth="1"/>
    <col min="4" max="4" width="49.08984375" bestFit="1" customWidth="1"/>
    <col min="5" max="5" width="13.08984375" bestFit="1" customWidth="1"/>
    <col min="6" max="6" width="4.90625" bestFit="1" customWidth="1"/>
    <col min="7" max="7" width="14.81640625" bestFit="1" customWidth="1"/>
    <col min="8" max="8" width="13.453125" bestFit="1" customWidth="1"/>
    <col min="9" max="9" width="8.81640625" bestFit="1" customWidth="1"/>
  </cols>
  <sheetData>
    <row r="1" spans="1:9" x14ac:dyDescent="0.35">
      <c r="A1" s="7" t="s">
        <v>63</v>
      </c>
      <c r="B1" s="7" t="s">
        <v>60</v>
      </c>
      <c r="C1" s="7" t="s">
        <v>61</v>
      </c>
      <c r="D1" s="7" t="s">
        <v>62</v>
      </c>
      <c r="E1" s="7" t="s">
        <v>64</v>
      </c>
      <c r="F1" s="7" t="s">
        <v>65</v>
      </c>
      <c r="G1" s="7" t="s">
        <v>66</v>
      </c>
      <c r="H1" s="7" t="s">
        <v>67</v>
      </c>
      <c r="I1" s="7" t="s">
        <v>68</v>
      </c>
    </row>
    <row r="2" spans="1:9" x14ac:dyDescent="0.35">
      <c r="A2" s="7" t="s">
        <v>69</v>
      </c>
      <c r="B2" s="7" t="s">
        <v>70</v>
      </c>
      <c r="C2" s="7" t="s">
        <v>71</v>
      </c>
      <c r="D2" s="7" t="s">
        <v>72</v>
      </c>
      <c r="E2" s="7" t="s">
        <v>73</v>
      </c>
      <c r="F2" s="7" t="s">
        <v>74</v>
      </c>
      <c r="G2" s="7" t="s">
        <v>75</v>
      </c>
      <c r="H2" s="8">
        <v>43325</v>
      </c>
      <c r="I2" s="9" t="s">
        <v>76</v>
      </c>
    </row>
    <row r="3" spans="1:9" x14ac:dyDescent="0.35">
      <c r="A3" s="7" t="s">
        <v>77</v>
      </c>
      <c r="B3" s="7" t="s">
        <v>70</v>
      </c>
      <c r="C3" s="7" t="s">
        <v>78</v>
      </c>
      <c r="D3" s="7" t="s">
        <v>79</v>
      </c>
      <c r="E3" s="7" t="s">
        <v>80</v>
      </c>
      <c r="F3" s="7" t="s">
        <v>74</v>
      </c>
      <c r="G3" s="7" t="s">
        <v>75</v>
      </c>
      <c r="H3" s="8">
        <v>43297</v>
      </c>
      <c r="I3" s="9" t="s">
        <v>76</v>
      </c>
    </row>
    <row r="4" spans="1:9" x14ac:dyDescent="0.35">
      <c r="A4" s="7" t="s">
        <v>81</v>
      </c>
      <c r="B4" s="7" t="s">
        <v>70</v>
      </c>
      <c r="C4" s="7" t="s">
        <v>82</v>
      </c>
      <c r="D4" s="7" t="s">
        <v>83</v>
      </c>
      <c r="E4" s="7" t="s">
        <v>84</v>
      </c>
      <c r="F4" s="7" t="s">
        <v>74</v>
      </c>
      <c r="G4" s="7" t="s">
        <v>75</v>
      </c>
      <c r="H4" s="8">
        <v>43328</v>
      </c>
      <c r="I4" s="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Report_2_&amp;_3</vt:lpstr>
      <vt:lpstr>Report_4</vt:lpstr>
      <vt:lpstr>Step_Overview</vt:lpstr>
      <vt:lpstr>Issue_Log</vt:lpstr>
      <vt:lpstr>Design DimEmployee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 Huu Nghia (VN.GRP-IT)</cp:lastModifiedBy>
  <dcterms:created xsi:type="dcterms:W3CDTF">2025-12-17T04:35:02Z</dcterms:created>
  <dcterms:modified xsi:type="dcterms:W3CDTF">2026-02-06T01:11:10Z</dcterms:modified>
</cp:coreProperties>
</file>